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wuTGGayu3PT//YUmyenMvCQOBe6zQo6qR1LtNktkB0g="/>
    </ext>
  </extLst>
</workbook>
</file>

<file path=xl/sharedStrings.xml><?xml version="1.0" encoding="utf-8"?>
<sst xmlns="http://schemas.openxmlformats.org/spreadsheetml/2006/main" count="958" uniqueCount="161">
  <si>
    <r>
      <rPr>
        <rFont val="Calibri"/>
        <b/>
        <color theme="1"/>
        <sz val="14.0"/>
      </rPr>
      <t xml:space="preserve">Правила для </t>
    </r>
    <r>
      <rPr>
        <rFont val="Calibri"/>
        <b/>
        <color rgb="FF1E4E79"/>
        <sz val="14.0"/>
      </rPr>
      <t>Силовой</t>
    </r>
    <r>
      <rPr>
        <rFont val="Calibri"/>
        <b/>
        <color theme="1"/>
        <sz val="14.0"/>
      </rPr>
      <t xml:space="preserve"> тренировки: </t>
    </r>
  </si>
  <si>
    <r>
      <rPr>
        <rFont val="Calibri"/>
        <b/>
        <color theme="1"/>
        <sz val="14.0"/>
      </rPr>
      <t>РАЗМИНКА ПЕРЕД ТРЕНИРОВКОЙ</t>
    </r>
    <r>
      <rPr>
        <rFont val="Calibri"/>
        <color theme="1"/>
        <sz val="14.0"/>
      </rPr>
      <t>:</t>
    </r>
  </si>
  <si>
    <t>Каждая тренировка начинается с суставной гимнастики - необходимо в течение 5-10 минут разогреть все суставы (выполнить вращательные, сгибательные и разгибательные движения всеми доступными частями тела) - уделить особое внимание плечевому суставу, позвоночнику, коленям</t>
  </si>
  <si>
    <t xml:space="preserve">Затем нам необходимо выполнить 8-10 минут кардио со средним уровнем интенсивности чтобы слегка повысить пульс и разогреться </t>
  </si>
  <si>
    <t>Теперь можно переходить к первому упражнению</t>
  </si>
  <si>
    <t xml:space="preserve">В каждом упражнении делаем от 1 до 4,5 или даже 6 разминочных подходов перед рабочим весом (чем больше рабочий вес - тем больше подходов необходимо чтобы подготовить тело). </t>
  </si>
  <si>
    <t>В упражнениях с маленьким весом в качестве разминки достаточно взять 50% от рабочего веса и медленно поработать на 8-10 повторений в одном подходе (не закисляясь)</t>
  </si>
  <si>
    <t>Чем больше рабочий вес, тем больше требуется разминочных подходов перед рабочим весом, при этом во время разминки не делать большого кол-ва повторений, чтобы не закисляться (1х8, 1х6, 1х4, 1х2, 1х1)</t>
  </si>
  <si>
    <t xml:space="preserve">Например если приседания 120 кг, то понадобится сделать 20*8, 50*6, 70*4, 90*2, 110*1, а только затем рабочий вес (делать большие шаги в увеличении веса после 50%ПМ травмоопасно - 10-20 кг оптимальный шаг) </t>
  </si>
  <si>
    <t>ПОДГОТОВИТЕЛЬНЫЙ ПЕРИОД 1-3 НЕДЕЛЯ:</t>
  </si>
  <si>
    <t>Это подготовительный период, который отведён для того чтобы освоить технику упражнений или чтобы нейро-мышечная связь могла их вспомнить (в случае если они уже вам были знакомы), а также с целью плавного входа в тренировочный процесс</t>
  </si>
  <si>
    <r>
      <rPr>
        <rFont val="Calibri"/>
        <color theme="1"/>
        <sz val="14.0"/>
      </rPr>
      <t>В данном периоде мы работаем с весами, которые указаны в таблице</t>
    </r>
    <r>
      <rPr>
        <rFont val="Calibri"/>
        <b/>
        <color theme="1"/>
        <sz val="14.0"/>
      </rPr>
      <t xml:space="preserve"> </t>
    </r>
    <r>
      <rPr>
        <rFont val="Calibri"/>
        <color theme="1"/>
        <sz val="14.0"/>
      </rPr>
      <t xml:space="preserve">- как правило это </t>
    </r>
    <r>
      <rPr>
        <rFont val="Calibri"/>
        <b/>
        <color theme="1"/>
        <sz val="14.0"/>
      </rPr>
      <t xml:space="preserve">12ПМ </t>
    </r>
    <r>
      <rPr>
        <rFont val="Calibri"/>
        <color theme="1"/>
        <sz val="14.0"/>
      </rPr>
      <t>(12-повторный максимум) и в количестве подходов и повторений, которые указаны в таблице</t>
    </r>
  </si>
  <si>
    <r>
      <rPr>
        <rFont val="Calibri"/>
        <color theme="1"/>
        <sz val="14.0"/>
      </rPr>
      <t>Например</t>
    </r>
    <r>
      <rPr>
        <rFont val="Calibri"/>
        <b/>
        <color theme="1"/>
        <sz val="14.0"/>
      </rPr>
      <t xml:space="preserve"> 12ПМ </t>
    </r>
    <r>
      <rPr>
        <rFont val="Calibri"/>
        <color theme="1"/>
        <sz val="14.0"/>
      </rPr>
      <t xml:space="preserve">это вес, который вы способны поднять максимум на 12 повторений в отказ и по таблице на первой неделе нам необходимо сделать с ним 2 подхода на 8 повторений </t>
    </r>
  </si>
  <si>
    <t xml:space="preserve">Поэтому мы делаем несколько разминочных подходов (если это необходимо - снова читаем про разминку выше) и потом выполняем 2 подхода на 8 повторений с весом, который мы способны сделать на 12 повторений в отказ </t>
  </si>
  <si>
    <t xml:space="preserve">В течение подготовительного периода мы подбираем рабочие веса по своим субъективным ощущениям (то есть выбираем подходящий вес на своё усмотрение) </t>
  </si>
  <si>
    <t>ТЕСТОВАЯ 4 НЕДЕЛЯ:</t>
  </si>
  <si>
    <t>Нам необходимо оценить свои силовые показатели, чтобы выявить рабочие веса для следующего периода</t>
  </si>
  <si>
    <r>
      <rPr>
        <rFont val="Calibri"/>
        <color theme="1"/>
        <sz val="14.0"/>
      </rPr>
      <t xml:space="preserve">Для этого нам необходимо протестировать все упражнения по 1 подходу в отказ и вписать результаты </t>
    </r>
    <r>
      <rPr>
        <rFont val="Calibri"/>
        <b/>
        <color theme="1"/>
        <sz val="14.0"/>
      </rPr>
      <t>рабочего веса</t>
    </r>
    <r>
      <rPr>
        <rFont val="Calibri"/>
        <color theme="1"/>
        <sz val="14.0"/>
      </rPr>
      <t xml:space="preserve"> и </t>
    </r>
    <r>
      <rPr>
        <rFont val="Calibri"/>
        <b/>
        <color theme="1"/>
        <sz val="14.0"/>
      </rPr>
      <t>количества повторений</t>
    </r>
    <r>
      <rPr>
        <rFont val="Calibri"/>
        <color theme="1"/>
        <sz val="14.0"/>
      </rPr>
      <t xml:space="preserve"> на тренировках в пустые колонки 4-ой недели по таблице</t>
    </r>
  </si>
  <si>
    <t>Как правильно это сделать?</t>
  </si>
  <si>
    <t xml:space="preserve">Необходимо провести качественную разминку с плавным выходом на приемлемый для нас рабочий вес и выполнить с ним один подход (выбираем рабочий вес, с которым получится сделать примерно от 4 до 8 повторений) </t>
  </si>
  <si>
    <t>Перед данным подходом после разминочных подходов нужно отдохнуть 4-5 минут</t>
  </si>
  <si>
    <r>
      <rPr>
        <rFont val="Calibri"/>
        <color theme="1"/>
        <sz val="14.0"/>
      </rPr>
      <t xml:space="preserve">В этом подходе необходимо выложиться на полную, но </t>
    </r>
    <r>
      <rPr>
        <rFont val="Calibri"/>
        <b/>
        <color theme="1"/>
        <sz val="14.0"/>
      </rPr>
      <t>абсолютно без нарушений техники и инерции</t>
    </r>
    <r>
      <rPr>
        <rFont val="Calibri"/>
        <color theme="1"/>
        <sz val="14.0"/>
      </rPr>
      <t xml:space="preserve"> и вписать в колонки </t>
    </r>
    <r>
      <rPr>
        <rFont val="Calibri"/>
        <b/>
        <color rgb="FF385623"/>
        <sz val="14.0"/>
      </rPr>
      <t>рабочий вес</t>
    </r>
    <r>
      <rPr>
        <rFont val="Calibri"/>
        <color theme="1"/>
        <sz val="14.0"/>
      </rPr>
      <t xml:space="preserve"> и </t>
    </r>
    <r>
      <rPr>
        <rFont val="Calibri"/>
        <b/>
        <color rgb="FF385623"/>
        <sz val="14.0"/>
      </rPr>
      <t>кол-во повторений</t>
    </r>
    <r>
      <rPr>
        <rFont val="Calibri"/>
        <color theme="1"/>
        <sz val="14.0"/>
      </rPr>
      <t>, которые мы смогли выполнить в этом подходе (Например "Жим гантелей по 20 кг на 6 раз")</t>
    </r>
  </si>
  <si>
    <t>В травмоопасных упражнениях, а также в тех, которые могут нас "придавить" это лучше сделать со страховкой (с напарником) или остановиться на 1 повторение раньше чем произойдёт отказ и также записать результат</t>
  </si>
  <si>
    <t>Необходимо всего лишь внести в таблицу результаты полученные  во время тестовой недели и программа рассчитает рабочие веса на следующий цикл до тестовой недели</t>
  </si>
  <si>
    <r>
      <rPr>
        <rFont val="Calibri"/>
        <color theme="1"/>
        <sz val="14.0"/>
      </rPr>
      <t xml:space="preserve">Например мы сделали "жим штанги лёжа" с весом 50 кг на 8 раз на максимум - вносим их в таблицу. </t>
    </r>
  </si>
  <si>
    <r>
      <rPr>
        <rFont val="Calibri"/>
        <b/>
        <i/>
        <color theme="1"/>
        <sz val="14.0"/>
      </rPr>
      <t>Уточнение</t>
    </r>
    <r>
      <rPr>
        <rFont val="Calibri"/>
        <i/>
        <color theme="1"/>
        <sz val="14.0"/>
      </rPr>
      <t xml:space="preserve">: в подтягиваниях нужно считать свой вес + вес отягощения или противовеса и их подставлять в ячейку  </t>
    </r>
  </si>
  <si>
    <t>В упражнениях с лёгким рабочим весом (менее 12 кг) подставляем вес двух гантелей, в упражнениях с большим рабочим весом подставляем вес одной гантели</t>
  </si>
  <si>
    <t>ТЕСТОВЫЕ НЕДЕЛИ 8, 12, 16:</t>
  </si>
  <si>
    <t>Выходим на указанный в таблице рабочий вес постепенно и выполняем с ним подход до отказа, а затем заносим результаты в таблицу как в тестовой неделе 4</t>
  </si>
  <si>
    <t xml:space="preserve">Перед рабочим весом можно выполнить крайний подход на 5-10 кг больше указанного веса на 1-2 повторения чтобы пробудить нейромышечную связь </t>
  </si>
  <si>
    <t>После этого отдыхаем 6-10 минут и выполняем тестовый отказной подход</t>
  </si>
  <si>
    <t>ИТОГИ ПЕРИОДА</t>
  </si>
  <si>
    <t>ПРОГРАММА ТРЕНИРОВОК:</t>
  </si>
  <si>
    <t>ПОДГОТОВИТЕЛЬНЫЙ ПЕРИОД</t>
  </si>
  <si>
    <t>ТЕСТОВАЯ НЕДЕЛЯ</t>
  </si>
  <si>
    <t xml:space="preserve">1 МЕЗОЦИКЛ </t>
  </si>
  <si>
    <t xml:space="preserve">2 МЕЗОЦИКЛ </t>
  </si>
  <si>
    <t>3 МЕЗОЦИКЛ</t>
  </si>
  <si>
    <t>1 Неделя:</t>
  </si>
  <si>
    <t>2 Неделя:</t>
  </si>
  <si>
    <t>3 Неделя:</t>
  </si>
  <si>
    <t>4 Неделя:</t>
  </si>
  <si>
    <t>5 Неделя:</t>
  </si>
  <si>
    <t>6 Неделя:</t>
  </si>
  <si>
    <t>7 Неделя:</t>
  </si>
  <si>
    <t>8 Неделя:</t>
  </si>
  <si>
    <t>9 Неделя:</t>
  </si>
  <si>
    <t>10 Неделя:</t>
  </si>
  <si>
    <t>11 Неделя:</t>
  </si>
  <si>
    <t>12 Неделя:</t>
  </si>
  <si>
    <t>13 Неделя:</t>
  </si>
  <si>
    <t>14 Неделя:</t>
  </si>
  <si>
    <t>15 Неделя:</t>
  </si>
  <si>
    <t>16 Неделя:</t>
  </si>
  <si>
    <t>1 день: (Силовая тренировка на всё тело)</t>
  </si>
  <si>
    <t>Альтернатива:</t>
  </si>
  <si>
    <t>Рабочий вес (кг)</t>
  </si>
  <si>
    <t>Подх x повт</t>
  </si>
  <si>
    <t>Количество повторений</t>
  </si>
  <si>
    <t>Жим штанги лёжа</t>
  </si>
  <si>
    <t>12ПМ</t>
  </si>
  <si>
    <t>2х8</t>
  </si>
  <si>
    <t>10ПМ</t>
  </si>
  <si>
    <t>3х8</t>
  </si>
  <si>
    <t>4х6</t>
  </si>
  <si>
    <t>4х5</t>
  </si>
  <si>
    <t>4х8</t>
  </si>
  <si>
    <t>5х5</t>
  </si>
  <si>
    <t>4х4</t>
  </si>
  <si>
    <t>4х3</t>
  </si>
  <si>
    <t>Становая тяга</t>
  </si>
  <si>
    <t>3х5</t>
  </si>
  <si>
    <t>3х3</t>
  </si>
  <si>
    <t>Жим платформы ногами</t>
  </si>
  <si>
    <t>3х6</t>
  </si>
  <si>
    <t>Подъём штанги на бицепс</t>
  </si>
  <si>
    <t>15ПМ</t>
  </si>
  <si>
    <t>Разгибания рук на блоке</t>
  </si>
  <si>
    <t>1х8</t>
  </si>
  <si>
    <t>Сгибания ног в тренажёре (сидя/лёжа)</t>
  </si>
  <si>
    <t>Экстензия</t>
  </si>
  <si>
    <t>Гудмонинг (Наклоны)</t>
  </si>
  <si>
    <t>собственный</t>
  </si>
  <si>
    <t>2 день: (Силовая тренировка на всё тело)</t>
  </si>
  <si>
    <t>Приседания со штангой</t>
  </si>
  <si>
    <t>5х2</t>
  </si>
  <si>
    <t>Подтягивания</t>
  </si>
  <si>
    <t>Подтягивания в гравитроне / вертикальная тяга</t>
  </si>
  <si>
    <t>4х2</t>
  </si>
  <si>
    <t>Жим штанги лёжа на наклонной скамье</t>
  </si>
  <si>
    <t>3х4</t>
  </si>
  <si>
    <t>Махи с гантелями в стороны</t>
  </si>
  <si>
    <t>3х12</t>
  </si>
  <si>
    <t>3х10</t>
  </si>
  <si>
    <t>Лицевая тяга блока</t>
  </si>
  <si>
    <t>Махи с гантелями в наклоне / разведения в Пек-Деке</t>
  </si>
  <si>
    <t>Разгибания ног сидя</t>
  </si>
  <si>
    <t>Скручивания для пресса</t>
  </si>
  <si>
    <t>3 день: (Силовая тренировка на всё тело)</t>
  </si>
  <si>
    <t>Армейский жим</t>
  </si>
  <si>
    <t>Жим штанги сидя</t>
  </si>
  <si>
    <t>Тяга штанги в наклоне</t>
  </si>
  <si>
    <t>Фронтальные приседания</t>
  </si>
  <si>
    <t>Приседания в Гакке</t>
  </si>
  <si>
    <t>Французский жим с гантелями </t>
  </si>
  <si>
    <t>Жим штанги лёжа узким хватом</t>
  </si>
  <si>
    <t>Сгибания рук на скамье Скотта с гантелями</t>
  </si>
  <si>
    <t>Тяга горизонтального блока к поясу</t>
  </si>
  <si>
    <t>Планка</t>
  </si>
  <si>
    <t>2х (до 30 сек)</t>
  </si>
  <si>
    <t>3х (до 30 сек)</t>
  </si>
  <si>
    <t>4х (до 30 сек)</t>
  </si>
  <si>
    <t>2х (до 40 сек)</t>
  </si>
  <si>
    <t>ОТДЫХ И ВОССТАНОВЛЕНИЕ</t>
  </si>
  <si>
    <t>Оптимальная частота тренировок - через день или каждый 3-ий день, крайности (как тренировка раз в неделю или каждый день) не приветствуются и это сработает гораздо хуже</t>
  </si>
  <si>
    <t>Отказные подходы в программе используются один раз в месяц чтобы не мешать расти силе и не загонять организм в перетренированность (этот объём отказных подходов оптимален)</t>
  </si>
  <si>
    <t>Отдых между подходами на каждую мышучную группу в базовых тяжёлых упражнениях должен занимать от 4 до 8 минут, в изолирующих или упражнениях на маленькие мышечные группы от 3 до 5 минут</t>
  </si>
  <si>
    <t xml:space="preserve">Чтобы сэкономить время тренировки можно выполнять упражнения парами (то есть одновременно 2 упражнения) - при этом можно сократить отдых между подходами по 3-4 минуты потому что мышечные группы будут чередоваться </t>
  </si>
  <si>
    <t>В тестовые недели продолжительность тренировки значительно меньше и выполнять упражнения стоит только по отдельности</t>
  </si>
  <si>
    <r>
      <rPr>
        <rFont val="Calibri"/>
        <b/>
        <color theme="1"/>
        <sz val="14.0"/>
      </rPr>
      <t>Исключение:</t>
    </r>
    <r>
      <rPr>
        <rFont val="Calibri"/>
        <color theme="1"/>
        <sz val="14.0"/>
      </rPr>
      <t xml:space="preserve"> в последнем мезоцикле - когда интенсивность в упражнениях повышается, а количество упражнений сокращается лучше выполнять их по отдельности одно за другим</t>
    </r>
  </si>
  <si>
    <t>Это лишь примерные сроки восстановления между подходами и зависеть они будут больше от рабочих весов и упражнений (тяжёлые могут занять больше времени для отдыха, а упражнения для маленьких мышечных групп гораздо меньше времени)</t>
  </si>
  <si>
    <t>План кардио:</t>
  </si>
  <si>
    <t xml:space="preserve">Подставьте свой возраст в ячейку чтобы рассчитать максимальную ЧСС: </t>
  </si>
  <si>
    <t>Максимальная ЧСС (100%)</t>
  </si>
  <si>
    <t>Недели</t>
  </si>
  <si>
    <t>Неделя 1</t>
  </si>
  <si>
    <t>Неделя 2</t>
  </si>
  <si>
    <t>Неделя 3</t>
  </si>
  <si>
    <t>Неделя 4</t>
  </si>
  <si>
    <t>Неделя 5</t>
  </si>
  <si>
    <t>Неделя 6</t>
  </si>
  <si>
    <t>Неделя 7</t>
  </si>
  <si>
    <t>Неделя 8</t>
  </si>
  <si>
    <t>Неделя 9</t>
  </si>
  <si>
    <t>Неделя 10</t>
  </si>
  <si>
    <t>Неделя 11</t>
  </si>
  <si>
    <t>Неделя 12</t>
  </si>
  <si>
    <t>Пульсовая зона (в % от максимального ЧСС)</t>
  </si>
  <si>
    <t>50-60%</t>
  </si>
  <si>
    <t>60-70%</t>
  </si>
  <si>
    <t>70-80%</t>
  </si>
  <si>
    <t>Количество кардио в неделю</t>
  </si>
  <si>
    <t>Время кардио-сессии</t>
  </si>
  <si>
    <t>Активность стараемся поддерживать на уровне 10 000 шагов в день</t>
  </si>
  <si>
    <r>
      <rPr>
        <rFont val="Calibri"/>
        <b/>
        <color theme="1"/>
        <sz val="14.0"/>
      </rPr>
      <t xml:space="preserve">Правила для </t>
    </r>
    <r>
      <rPr>
        <rFont val="Calibri"/>
        <b/>
        <color rgb="FF1E4E79"/>
        <sz val="14.0"/>
      </rPr>
      <t>Силовой</t>
    </r>
    <r>
      <rPr>
        <rFont val="Calibri"/>
        <b/>
        <color theme="1"/>
        <sz val="14.0"/>
      </rPr>
      <t xml:space="preserve"> тренировки: </t>
    </r>
  </si>
  <si>
    <r>
      <rPr>
        <rFont val="Calibri"/>
        <b/>
        <color theme="1"/>
        <sz val="14.0"/>
      </rPr>
      <t>РАЗМИНКА ПЕРЕД ТРЕНИРОВКОЙ</t>
    </r>
    <r>
      <rPr>
        <rFont val="Calibri"/>
        <color theme="1"/>
        <sz val="14.0"/>
      </rPr>
      <t>:</t>
    </r>
  </si>
  <si>
    <r>
      <rPr>
        <rFont val="Calibri"/>
        <color theme="1"/>
        <sz val="14.0"/>
      </rPr>
      <t>В данном периоде мы работаем с весами, которые указаны в таблице</t>
    </r>
    <r>
      <rPr>
        <rFont val="Calibri"/>
        <b/>
        <color theme="1"/>
        <sz val="14.0"/>
      </rPr>
      <t xml:space="preserve"> </t>
    </r>
    <r>
      <rPr>
        <rFont val="Calibri"/>
        <color theme="1"/>
        <sz val="14.0"/>
      </rPr>
      <t xml:space="preserve">- как правило это </t>
    </r>
    <r>
      <rPr>
        <rFont val="Calibri"/>
        <b/>
        <color theme="1"/>
        <sz val="14.0"/>
      </rPr>
      <t xml:space="preserve">12ПМ </t>
    </r>
    <r>
      <rPr>
        <rFont val="Calibri"/>
        <color theme="1"/>
        <sz val="14.0"/>
      </rPr>
      <t>(12-повторный максимум) и в количестве подходов и повторений, которые указаны в таблице</t>
    </r>
  </si>
  <si>
    <r>
      <rPr>
        <rFont val="Calibri"/>
        <color theme="1"/>
        <sz val="14.0"/>
      </rPr>
      <t>Например</t>
    </r>
    <r>
      <rPr>
        <rFont val="Calibri"/>
        <b/>
        <color theme="1"/>
        <sz val="14.0"/>
      </rPr>
      <t xml:space="preserve"> 12ПМ </t>
    </r>
    <r>
      <rPr>
        <rFont val="Calibri"/>
        <color theme="1"/>
        <sz val="14.0"/>
      </rPr>
      <t xml:space="preserve">это вес, который вы способны поднять максимум на 12 повторений в отказ и по таблице на первой неделе нам необходимо сделать с ним 2 подхода на 8 повторений </t>
    </r>
  </si>
  <si>
    <r>
      <rPr>
        <rFont val="Calibri"/>
        <color theme="1"/>
        <sz val="14.0"/>
      </rPr>
      <t xml:space="preserve">Для этого нам необходимо протестировать все упражнения по 1 подходу в отказ и вписать результаты </t>
    </r>
    <r>
      <rPr>
        <rFont val="Calibri"/>
        <b/>
        <color theme="1"/>
        <sz val="14.0"/>
      </rPr>
      <t>рабочего веса</t>
    </r>
    <r>
      <rPr>
        <rFont val="Calibri"/>
        <color theme="1"/>
        <sz val="14.0"/>
      </rPr>
      <t xml:space="preserve"> и </t>
    </r>
    <r>
      <rPr>
        <rFont val="Calibri"/>
        <b/>
        <color theme="1"/>
        <sz val="14.0"/>
      </rPr>
      <t>количества повторений</t>
    </r>
    <r>
      <rPr>
        <rFont val="Calibri"/>
        <color theme="1"/>
        <sz val="14.0"/>
      </rPr>
      <t xml:space="preserve"> на тренировках в пустые колонки 4-ой недели по таблице</t>
    </r>
  </si>
  <si>
    <r>
      <rPr>
        <rFont val="Calibri"/>
        <color theme="1"/>
        <sz val="14.0"/>
      </rPr>
      <t xml:space="preserve">В этом подходе необходимо выложиться на полную, но </t>
    </r>
    <r>
      <rPr>
        <rFont val="Calibri"/>
        <b/>
        <color theme="1"/>
        <sz val="14.0"/>
      </rPr>
      <t>абсолютно без нарушений техники и инерции</t>
    </r>
    <r>
      <rPr>
        <rFont val="Calibri"/>
        <color theme="1"/>
        <sz val="14.0"/>
      </rPr>
      <t xml:space="preserve"> и вписать в колонки </t>
    </r>
    <r>
      <rPr>
        <rFont val="Calibri"/>
        <b/>
        <color rgb="FF385623"/>
        <sz val="14.0"/>
      </rPr>
      <t>рабочий вес</t>
    </r>
    <r>
      <rPr>
        <rFont val="Calibri"/>
        <color theme="1"/>
        <sz val="14.0"/>
      </rPr>
      <t xml:space="preserve"> и </t>
    </r>
    <r>
      <rPr>
        <rFont val="Calibri"/>
        <b/>
        <color rgb="FF385623"/>
        <sz val="14.0"/>
      </rPr>
      <t>кол-во повторений</t>
    </r>
    <r>
      <rPr>
        <rFont val="Calibri"/>
        <color theme="1"/>
        <sz val="14.0"/>
      </rPr>
      <t>, которые мы смогли выполнить в этом подходе (Например "Жим гантелей по 20 кг на 6 раз")</t>
    </r>
  </si>
  <si>
    <r>
      <rPr>
        <rFont val="Calibri"/>
        <color theme="1"/>
        <sz val="14.0"/>
      </rPr>
      <t xml:space="preserve">Например мы сделали "жим штанги лёжа" с весом 50 кг на 8 раз на максимум - вносим их в таблицу. </t>
    </r>
  </si>
  <si>
    <r>
      <rPr>
        <rFont val="Calibri"/>
        <b/>
        <i/>
        <color theme="1"/>
        <sz val="14.0"/>
      </rPr>
      <t>Уточнение</t>
    </r>
    <r>
      <rPr>
        <rFont val="Calibri"/>
        <i/>
        <color theme="1"/>
        <sz val="14.0"/>
      </rPr>
      <t xml:space="preserve">: в подтягиваниях нужно считать свой вес + вес отягощения или противовеса и их подставлять в ячейку  </t>
    </r>
  </si>
  <si>
    <t>Итоговая неделя 16:</t>
  </si>
  <si>
    <t>Выходим на указанный в таблице рабочий вес по принципам, которые использовали в 4-ую неделю и выполняем с ним подход до отказа</t>
  </si>
  <si>
    <t>5x4</t>
  </si>
  <si>
    <t>5x3</t>
  </si>
  <si>
    <t>5х1</t>
  </si>
  <si>
    <t>4х10</t>
  </si>
  <si>
    <t>5х3</t>
  </si>
  <si>
    <t>6х1</t>
  </si>
  <si>
    <r>
      <rPr>
        <rFont val="Calibri"/>
        <b/>
        <color theme="1"/>
        <sz val="14.0"/>
      </rPr>
      <t>Исключение:</t>
    </r>
    <r>
      <rPr>
        <rFont val="Calibri"/>
        <color theme="1"/>
        <sz val="14.0"/>
      </rPr>
      <t xml:space="preserve"> в последнем мезоцикле - когда интенсивность в упражнениях повышается, а количество упражнений сокращается лучше выполнять их по отдельности одно за другим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</si>
</sst>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>
      <sz val="14.0"/>
      <color rgb="FF000000"/>
      <name val="Calibri"/>
    </font>
    <font>
      <sz val="11.0"/>
      <color theme="1"/>
      <name val="Calibri"/>
    </font>
    <font>
      <b/>
      <sz val="16.0"/>
      <color theme="1"/>
      <name val="Calibri"/>
    </font>
    <font>
      <i/>
      <sz val="14.0"/>
      <color theme="1"/>
      <name val="Calibri"/>
    </font>
    <font>
      <sz val="12.0"/>
      <color theme="1"/>
      <name val="Calibri"/>
    </font>
    <font/>
    <font>
      <b/>
      <sz val="14.0"/>
      <color rgb="FF000000"/>
      <name val="Arial"/>
    </font>
    <font>
      <u/>
      <sz val="14.0"/>
      <color theme="10"/>
      <name val="Calibri"/>
    </font>
    <font>
      <u/>
      <sz val="14.0"/>
      <color theme="10"/>
      <name val="Calibri"/>
    </font>
    <font>
      <u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1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3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0" fontId="9" numFmtId="0" xfId="0" applyBorder="1" applyFont="1"/>
    <xf borderId="3" fillId="3" fontId="3" numFmtId="0" xfId="0" applyAlignment="1" applyBorder="1" applyFill="1" applyFont="1">
      <alignment horizontal="center"/>
    </xf>
    <xf borderId="4" fillId="0" fontId="9" numFmtId="0" xfId="0" applyBorder="1" applyFont="1"/>
    <xf borderId="5" fillId="0" fontId="9" numFmtId="0" xfId="0" applyBorder="1" applyFont="1"/>
    <xf borderId="3" fillId="4" fontId="3" numFmtId="0" xfId="0" applyAlignment="1" applyBorder="1" applyFill="1" applyFont="1">
      <alignment horizontal="center"/>
    </xf>
    <xf borderId="3" fillId="2" fontId="3" numFmtId="0" xfId="0" applyAlignment="1" applyBorder="1" applyFont="1">
      <alignment horizontal="center"/>
    </xf>
    <xf borderId="0" fillId="0" fontId="10" numFmtId="0" xfId="0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11" numFmtId="0" xfId="0" applyFont="1"/>
    <xf borderId="6" fillId="0" fontId="2" numFmtId="0" xfId="0" applyBorder="1" applyFont="1"/>
    <xf borderId="6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5" fillId="0" fontId="5" numFmtId="0" xfId="0" applyBorder="1" applyFont="1"/>
    <xf borderId="8" fillId="0" fontId="2" numFmtId="0" xfId="0" applyBorder="1" applyFont="1"/>
    <xf borderId="6" fillId="0" fontId="12" numFmtId="0" xfId="0" applyBorder="1" applyFont="1"/>
    <xf borderId="6" fillId="0" fontId="5" numFmtId="0" xfId="0" applyAlignment="1" applyBorder="1" applyFont="1">
      <alignment readingOrder="0"/>
    </xf>
    <xf borderId="6" fillId="0" fontId="1" numFmtId="0" xfId="0" applyBorder="1" applyFont="1"/>
    <xf borderId="14" fillId="0" fontId="5" numFmtId="0" xfId="0" applyBorder="1" applyFont="1"/>
    <xf borderId="8" fillId="0" fontId="5" numFmtId="0" xfId="0" applyBorder="1" applyFont="1"/>
    <xf borderId="3" fillId="0" fontId="5" numFmtId="0" xfId="0" applyBorder="1" applyFont="1"/>
    <xf borderId="15" fillId="0" fontId="5" numFmtId="0" xfId="0" applyBorder="1" applyFont="1"/>
    <xf borderId="7" fillId="0" fontId="13" numFmtId="0" xfId="0" applyBorder="1" applyFont="1"/>
    <xf borderId="7" fillId="0" fontId="5" numFmtId="0" xfId="0" applyBorder="1" applyFont="1"/>
    <xf borderId="16" fillId="0" fontId="5" numFmtId="0" xfId="0" applyBorder="1" applyFont="1"/>
    <xf borderId="7" fillId="0" fontId="2" numFmtId="0" xfId="0" applyBorder="1" applyFont="1"/>
    <xf borderId="3" fillId="0" fontId="1" numFmtId="0" xfId="0" applyBorder="1" applyFont="1"/>
    <xf borderId="5" fillId="0" fontId="2" numFmtId="0" xfId="0" applyBorder="1" applyFont="1"/>
    <xf borderId="12" fillId="0" fontId="1" numFmtId="0" xfId="0" applyBorder="1" applyFont="1"/>
    <xf borderId="8" fillId="0" fontId="1" numFmtId="0" xfId="0" applyBorder="1" applyFont="1"/>
    <xf borderId="12" fillId="0" fontId="2" numFmtId="0" xfId="0" applyBorder="1" applyFont="1"/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10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33</xdr:row>
      <xdr:rowOff>171450</xdr:rowOff>
    </xdr:from>
    <xdr:ext cx="12858750" cy="866775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46</xdr:row>
      <xdr:rowOff>9525</xdr:rowOff>
    </xdr:from>
    <xdr:ext cx="10344150" cy="1009650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33</xdr:row>
      <xdr:rowOff>171450</xdr:rowOff>
    </xdr:from>
    <xdr:ext cx="12858750" cy="866775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43</xdr:row>
      <xdr:rowOff>19050</xdr:rowOff>
    </xdr:from>
    <xdr:ext cx="3181350" cy="1943100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oosty.to/yetiblog/posts/478c3920-1b7b-4e73-ad8e-26c7d45f4814?share=post_link" TargetMode="External"/><Relationship Id="rId11" Type="http://schemas.openxmlformats.org/officeDocument/2006/relationships/hyperlink" Target="https://boosty.to/yetiblog/posts/98ec8354-1fe5-4150-87ef-78fd464a27d1?share=post_lin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boosty.to/yetiblog/posts/2610ef2e-73b9-40b2-b1d0-48e75ee74be9?share=post_link" TargetMode="External"/><Relationship Id="rId21" Type="http://schemas.openxmlformats.org/officeDocument/2006/relationships/hyperlink" Target="https://boosty.to/yetiblog/posts/effaebd1-f017-40f9-929c-4ac462634ad0?share=post_link" TargetMode="External"/><Relationship Id="rId13" Type="http://schemas.openxmlformats.org/officeDocument/2006/relationships/hyperlink" Target="https://boosty.to/yetiblog/posts/9d4bbf5c-74c2-4da2-8570-8b7921fa56b7?share=post_link" TargetMode="External"/><Relationship Id="rId12" Type="http://schemas.openxmlformats.org/officeDocument/2006/relationships/hyperlink" Target="https://boosty.to/yetiblog/posts/7bebc374-39f7-47d2-a4e6-52d5bf73c839?share=post_link" TargetMode="External"/><Relationship Id="rId1" Type="http://schemas.openxmlformats.org/officeDocument/2006/relationships/hyperlink" Target="https://boosty.to/yetiblog/posts/2610ef2e-73b9-40b2-b1d0-48e75ee74be9?share=post_link" TargetMode="External"/><Relationship Id="rId2" Type="http://schemas.openxmlformats.org/officeDocument/2006/relationships/hyperlink" Target="https://boosty.to/yetiblog/posts/31b0c7c9-8a65-4d69-a61b-e7b52acad96b?share=post_link" TargetMode="External"/><Relationship Id="rId3" Type="http://schemas.openxmlformats.org/officeDocument/2006/relationships/hyperlink" Target="https://boosty.to/yetiblog/posts/cf196b35-5c75-423b-8470-99fd876e45d8?share=post_link" TargetMode="External"/><Relationship Id="rId4" Type="http://schemas.openxmlformats.org/officeDocument/2006/relationships/hyperlink" Target="https://boosty.to/yetiblog/posts/81382241-e99b-4410-ab93-9119ffb8bb27?share=post_link" TargetMode="External"/><Relationship Id="rId9" Type="http://schemas.openxmlformats.org/officeDocument/2006/relationships/hyperlink" Target="https://boosty.to/yetiblog/posts/6009bcd8-9ef8-4b6f-96b6-d263bd26dc38?share=post_link" TargetMode="External"/><Relationship Id="rId15" Type="http://schemas.openxmlformats.org/officeDocument/2006/relationships/hyperlink" Target="https://boosty.to/yetiblog/posts/483887e1-4039-4652-8b67-29a1ec04321c?share=post_link" TargetMode="External"/><Relationship Id="rId14" Type="http://schemas.openxmlformats.org/officeDocument/2006/relationships/hyperlink" Target="https://boosty.to/yetiblog/posts/30ea2e5f-1151-40dc-9cad-fc4c1ed7b2ac?share=post_link" TargetMode="External"/><Relationship Id="rId17" Type="http://schemas.openxmlformats.org/officeDocument/2006/relationships/hyperlink" Target="https://boosty.to/yetiblog/posts/f4eab4fc-a452-475f-abd1-7b5f13209e7a" TargetMode="External"/><Relationship Id="rId16" Type="http://schemas.openxmlformats.org/officeDocument/2006/relationships/hyperlink" Target="https://boosty.to/yetiblog/posts/c47444c0-6e25-48df-8510-8c4e7a64c973?share=post_link" TargetMode="External"/><Relationship Id="rId5" Type="http://schemas.openxmlformats.org/officeDocument/2006/relationships/hyperlink" Target="https://boosty.to/yetiblog/posts/27920553-8831-48fb-a9f3-9db8710de97e?share=post_link" TargetMode="External"/><Relationship Id="rId19" Type="http://schemas.openxmlformats.org/officeDocument/2006/relationships/hyperlink" Target="https://boosty.to/yetiblog/posts/bf078f4d-242c-4592-b7f1-ea9b213db3d4?share=post_link" TargetMode="External"/><Relationship Id="rId6" Type="http://schemas.openxmlformats.org/officeDocument/2006/relationships/hyperlink" Target="https://boosty.to/yetiblog/posts/7f4113d3-c740-427f-a7f3-fe0bc846a758?share=post_link" TargetMode="External"/><Relationship Id="rId18" Type="http://schemas.openxmlformats.org/officeDocument/2006/relationships/hyperlink" Target="https://boosty.to/yetiblog/posts/6abb5600-a62b-4085-aa37-bc3b8634b367?share=post_link" TargetMode="External"/><Relationship Id="rId7" Type="http://schemas.openxmlformats.org/officeDocument/2006/relationships/hyperlink" Target="https://boosty.to/yetiblog/posts/978677d6-0937-479b-91a4-36e8fff139cb?share=post_link" TargetMode="External"/><Relationship Id="rId8" Type="http://schemas.openxmlformats.org/officeDocument/2006/relationships/hyperlink" Target="https://boosty.to/yetiblog/posts/92c0e29f-339c-4893-91ea-8124e17e2721?share=post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boosty.to/yetiblog/posts/478c3920-1b7b-4e73-ad8e-26c7d45f4814?share=post_link" TargetMode="External"/><Relationship Id="rId11" Type="http://schemas.openxmlformats.org/officeDocument/2006/relationships/hyperlink" Target="https://boosty.to/yetiblog/posts/98ec8354-1fe5-4150-87ef-78fd464a27d1?share=post_link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boosty.to/yetiblog/posts/2610ef2e-73b9-40b2-b1d0-48e75ee74be9?share=post_link" TargetMode="External"/><Relationship Id="rId21" Type="http://schemas.openxmlformats.org/officeDocument/2006/relationships/hyperlink" Target="https://boosty.to/yetiblog/posts/effaebd1-f017-40f9-929c-4ac462634ad0?share=post_link" TargetMode="External"/><Relationship Id="rId13" Type="http://schemas.openxmlformats.org/officeDocument/2006/relationships/hyperlink" Target="https://boosty.to/yetiblog/posts/9d4bbf5c-74c2-4da2-8570-8b7921fa56b7?share=post_link" TargetMode="External"/><Relationship Id="rId12" Type="http://schemas.openxmlformats.org/officeDocument/2006/relationships/hyperlink" Target="https://boosty.to/yetiblog/posts/7bebc374-39f7-47d2-a4e6-52d5bf73c839?share=post_link" TargetMode="External"/><Relationship Id="rId1" Type="http://schemas.openxmlformats.org/officeDocument/2006/relationships/hyperlink" Target="https://boosty.to/yetiblog/posts/2610ef2e-73b9-40b2-b1d0-48e75ee74be9?share=post_link" TargetMode="External"/><Relationship Id="rId2" Type="http://schemas.openxmlformats.org/officeDocument/2006/relationships/hyperlink" Target="https://boosty.to/yetiblog/posts/31b0c7c9-8a65-4d69-a61b-e7b52acad96b?share=post_link" TargetMode="External"/><Relationship Id="rId3" Type="http://schemas.openxmlformats.org/officeDocument/2006/relationships/hyperlink" Target="https://boosty.to/yetiblog/posts/cf196b35-5c75-423b-8470-99fd876e45d8?share=post_link" TargetMode="External"/><Relationship Id="rId4" Type="http://schemas.openxmlformats.org/officeDocument/2006/relationships/hyperlink" Target="https://boosty.to/yetiblog/posts/81382241-e99b-4410-ab93-9119ffb8bb27?share=post_link" TargetMode="External"/><Relationship Id="rId9" Type="http://schemas.openxmlformats.org/officeDocument/2006/relationships/hyperlink" Target="https://boosty.to/yetiblog/posts/6009bcd8-9ef8-4b6f-96b6-d263bd26dc38?share=post_link" TargetMode="External"/><Relationship Id="rId15" Type="http://schemas.openxmlformats.org/officeDocument/2006/relationships/hyperlink" Target="https://boosty.to/yetiblog/posts/483887e1-4039-4652-8b67-29a1ec04321c?share=post_link" TargetMode="External"/><Relationship Id="rId14" Type="http://schemas.openxmlformats.org/officeDocument/2006/relationships/hyperlink" Target="https://boosty.to/yetiblog/posts/30ea2e5f-1151-40dc-9cad-fc4c1ed7b2ac?share=post_link" TargetMode="External"/><Relationship Id="rId17" Type="http://schemas.openxmlformats.org/officeDocument/2006/relationships/hyperlink" Target="https://boosty.to/yetiblog/posts/f4eab4fc-a452-475f-abd1-7b5f13209e7a" TargetMode="External"/><Relationship Id="rId16" Type="http://schemas.openxmlformats.org/officeDocument/2006/relationships/hyperlink" Target="https://boosty.to/yetiblog/posts/c47444c0-6e25-48df-8510-8c4e7a64c973?share=post_link" TargetMode="External"/><Relationship Id="rId5" Type="http://schemas.openxmlformats.org/officeDocument/2006/relationships/hyperlink" Target="https://boosty.to/yetiblog/posts/27920553-8831-48fb-a9f3-9db8710de97e?share=post_link" TargetMode="External"/><Relationship Id="rId19" Type="http://schemas.openxmlformats.org/officeDocument/2006/relationships/hyperlink" Target="https://boosty.to/yetiblog/posts/bf078f4d-242c-4592-b7f1-ea9b213db3d4?share=post_link" TargetMode="External"/><Relationship Id="rId6" Type="http://schemas.openxmlformats.org/officeDocument/2006/relationships/hyperlink" Target="https://boosty.to/yetiblog/posts/7f4113d3-c740-427f-a7f3-fe0bc846a758?share=post_link" TargetMode="External"/><Relationship Id="rId18" Type="http://schemas.openxmlformats.org/officeDocument/2006/relationships/hyperlink" Target="https://boosty.to/yetiblog/posts/6abb5600-a62b-4085-aa37-bc3b8634b367?share=post_link" TargetMode="External"/><Relationship Id="rId7" Type="http://schemas.openxmlformats.org/officeDocument/2006/relationships/hyperlink" Target="https://boosty.to/yetiblog/posts/978677d6-0937-479b-91a4-36e8fff139cb?share=post_link" TargetMode="External"/><Relationship Id="rId8" Type="http://schemas.openxmlformats.org/officeDocument/2006/relationships/hyperlink" Target="https://boosty.to/yetiblog/posts/92c0e29f-339c-4893-91ea-8124e17e2721?share=post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5.57"/>
    <col customWidth="1" min="3" max="3" width="24.14"/>
    <col customWidth="1" min="4" max="4" width="34.0"/>
    <col customWidth="1" min="5" max="5" width="18.86"/>
    <col customWidth="1" min="6" max="6" width="12.86"/>
    <col customWidth="1" min="7" max="7" width="17.14"/>
    <col customWidth="1" min="8" max="8" width="14.71"/>
    <col customWidth="1" min="9" max="9" width="18.71"/>
    <col customWidth="1" min="10" max="10" width="14.71"/>
    <col customWidth="1" min="11" max="11" width="17.57"/>
    <col customWidth="1" min="12" max="12" width="24.57"/>
    <col customWidth="1" min="13" max="13" width="18.43"/>
    <col customWidth="1" min="14" max="14" width="12.43"/>
    <col customWidth="1" min="15" max="15" width="19.57"/>
    <col customWidth="1" min="16" max="16" width="14.14"/>
    <col customWidth="1" min="17" max="17" width="22.0"/>
    <col customWidth="1" min="18" max="18" width="16.14"/>
    <col customWidth="1" min="19" max="19" width="16.43"/>
    <col customWidth="1" min="20" max="20" width="23.0"/>
    <col customWidth="1" min="21" max="21" width="19.0"/>
    <col customWidth="1" min="22" max="22" width="19.29"/>
    <col customWidth="1" min="23" max="23" width="19.43"/>
    <col customWidth="1" min="24" max="24" width="16.14"/>
    <col customWidth="1" min="25" max="25" width="18.43"/>
    <col customWidth="1" min="26" max="26" width="24.86"/>
    <col customWidth="1" min="27" max="27" width="18.14"/>
    <col customWidth="1" min="28" max="28" width="19.29"/>
    <col customWidth="1" min="29" max="29" width="18.29"/>
    <col customWidth="1" min="30" max="30" width="20.43"/>
    <col customWidth="1" min="31" max="31" width="17.57"/>
    <col customWidth="1" min="32" max="32" width="19.14"/>
    <col customWidth="1" min="33" max="33" width="18.29"/>
    <col customWidth="1" min="34" max="34" width="22.57"/>
    <col customWidth="1" min="35" max="35" width="16.71"/>
    <col customWidth="1" min="36" max="36" width="25.0"/>
    <col customWidth="1" min="37" max="37" width="13.29"/>
    <col customWidth="1" min="38" max="38" width="15.57"/>
    <col customWidth="1" min="39" max="39" width="13.43"/>
    <col customWidth="1" min="40" max="47" width="8.71"/>
  </cols>
  <sheetData>
    <row r="2">
      <c r="A2" s="1" t="s">
        <v>0</v>
      </c>
    </row>
    <row r="3">
      <c r="A3" s="2"/>
    </row>
    <row r="4">
      <c r="A4" s="2" t="s">
        <v>1</v>
      </c>
    </row>
    <row r="5">
      <c r="A5" s="2" t="s">
        <v>2</v>
      </c>
    </row>
    <row r="6">
      <c r="A6" s="2" t="s">
        <v>3</v>
      </c>
    </row>
    <row r="7">
      <c r="A7" s="1" t="s">
        <v>4</v>
      </c>
    </row>
    <row r="8">
      <c r="A8" s="2" t="s">
        <v>5</v>
      </c>
    </row>
    <row r="9">
      <c r="A9" s="2" t="s">
        <v>6</v>
      </c>
    </row>
    <row r="10">
      <c r="A10" s="3" t="s">
        <v>7</v>
      </c>
    </row>
    <row r="11">
      <c r="A11" s="3" t="s">
        <v>8</v>
      </c>
    </row>
    <row r="12">
      <c r="A12" s="2"/>
    </row>
    <row r="13">
      <c r="A13" s="2"/>
    </row>
    <row r="14">
      <c r="A14" s="1" t="s">
        <v>9</v>
      </c>
    </row>
    <row r="15">
      <c r="A15" s="2" t="s">
        <v>10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>
      <c r="A16" s="2" t="s">
        <v>11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2" t="s">
        <v>12</v>
      </c>
    </row>
    <row r="18">
      <c r="A18" s="2" t="s">
        <v>13</v>
      </c>
    </row>
    <row r="19">
      <c r="A19" s="2" t="s">
        <v>14</v>
      </c>
      <c r="AJ19" s="4"/>
    </row>
    <row r="20">
      <c r="A20" s="2"/>
      <c r="AH20" s="4"/>
      <c r="AI20" s="4"/>
    </row>
    <row r="21" ht="15.75" customHeight="1">
      <c r="A21" s="2"/>
      <c r="AC21" s="4"/>
      <c r="AD21" s="4"/>
      <c r="AE21" s="4"/>
      <c r="AF21" s="4"/>
      <c r="AG21" s="4"/>
    </row>
    <row r="22" ht="15.75" customHeight="1">
      <c r="A22" s="1" t="s">
        <v>15</v>
      </c>
    </row>
    <row r="23" ht="15.75" customHeight="1">
      <c r="A23" s="5" t="s">
        <v>16</v>
      </c>
      <c r="B23" s="6"/>
      <c r="C23" s="6"/>
      <c r="D23" s="6"/>
      <c r="R23" s="4"/>
      <c r="S23" s="4"/>
      <c r="T23" s="4"/>
      <c r="U23" s="4"/>
      <c r="V23" s="4"/>
      <c r="AA23" s="4"/>
      <c r="AB23" s="4"/>
    </row>
    <row r="24" ht="15.75" customHeight="1">
      <c r="A24" s="2" t="s">
        <v>17</v>
      </c>
    </row>
    <row r="25" ht="15.75" customHeight="1">
      <c r="A25" s="1" t="s">
        <v>18</v>
      </c>
      <c r="E25" s="6"/>
      <c r="F25" s="6"/>
      <c r="G25" s="6"/>
      <c r="H25" s="6"/>
      <c r="I25" s="6"/>
    </row>
    <row r="26" ht="15.75" customHeight="1">
      <c r="A26" s="2" t="s">
        <v>19</v>
      </c>
    </row>
    <row r="27" ht="15.75" customHeight="1">
      <c r="A27" s="2" t="s">
        <v>20</v>
      </c>
    </row>
    <row r="28" ht="15.75" customHeight="1">
      <c r="A28" s="2" t="s">
        <v>21</v>
      </c>
      <c r="N28" s="4"/>
      <c r="O28" s="4"/>
      <c r="P28" s="4"/>
      <c r="Q28" s="4"/>
      <c r="R28" s="4"/>
      <c r="S28" s="4"/>
      <c r="T28" s="4"/>
      <c r="U28" s="4"/>
    </row>
    <row r="29" ht="15.75" customHeight="1">
      <c r="A29" s="2" t="s">
        <v>22</v>
      </c>
    </row>
    <row r="30" ht="15.75" customHeight="1">
      <c r="A30" s="7" t="s">
        <v>23</v>
      </c>
    </row>
    <row r="31" ht="15.75" customHeight="1">
      <c r="A31" s="2" t="s">
        <v>24</v>
      </c>
    </row>
    <row r="32" ht="15.75" customHeight="1">
      <c r="A32" s="8" t="s">
        <v>25</v>
      </c>
    </row>
    <row r="33" ht="15.75" customHeight="1">
      <c r="A33" s="8" t="s">
        <v>26</v>
      </c>
    </row>
    <row r="34" ht="15.75" customHeight="1"/>
    <row r="35" ht="15.75" customHeight="1"/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  <c r="AH41" s="6"/>
      <c r="AI41" s="6"/>
      <c r="AJ41" s="6"/>
      <c r="AK41" s="6"/>
      <c r="AL41" s="6"/>
      <c r="AM41" s="6"/>
    </row>
    <row r="42" ht="15.75" customHeight="1">
      <c r="A42" s="7" t="s">
        <v>27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H42" s="6"/>
      <c r="AI42" s="6"/>
      <c r="AJ42" s="6"/>
      <c r="AK42" s="6"/>
      <c r="AL42" s="6"/>
      <c r="AM42" s="6"/>
    </row>
    <row r="43" ht="15.75" customHeight="1">
      <c r="A43" s="2" t="s">
        <v>28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H43" s="6"/>
      <c r="AI43" s="6"/>
      <c r="AJ43" s="6"/>
      <c r="AK43" s="6"/>
      <c r="AL43" s="6"/>
      <c r="AM43" s="6"/>
    </row>
    <row r="44" ht="15.75" customHeight="1">
      <c r="A44" s="2" t="s">
        <v>29</v>
      </c>
    </row>
    <row r="45" ht="15.75" customHeight="1">
      <c r="A45" s="2" t="s">
        <v>30</v>
      </c>
    </row>
    <row r="46" ht="15.75" customHeight="1">
      <c r="A46" s="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56" s="6"/>
      <c r="L56" s="6"/>
      <c r="N56" s="6"/>
      <c r="O56" s="4"/>
      <c r="P56" s="6"/>
      <c r="Q56" s="10"/>
      <c r="AH56" s="6"/>
      <c r="AI56" s="11" t="s">
        <v>31</v>
      </c>
      <c r="AJ56" s="12"/>
      <c r="AK56" s="6"/>
      <c r="AL56" s="6"/>
      <c r="AM56" s="6"/>
    </row>
    <row r="57" ht="15.75" customHeight="1">
      <c r="A57" s="7" t="s">
        <v>32</v>
      </c>
      <c r="B57" s="6"/>
      <c r="E57" s="13" t="s">
        <v>33</v>
      </c>
      <c r="F57" s="14"/>
      <c r="G57" s="14"/>
      <c r="H57" s="14"/>
      <c r="I57" s="14"/>
      <c r="J57" s="15"/>
      <c r="K57" s="16" t="s">
        <v>34</v>
      </c>
      <c r="L57" s="15"/>
      <c r="M57" s="17" t="s">
        <v>35</v>
      </c>
      <c r="N57" s="14"/>
      <c r="O57" s="14"/>
      <c r="P57" s="14"/>
      <c r="Q57" s="14"/>
      <c r="R57" s="15"/>
      <c r="S57" s="17" t="s">
        <v>34</v>
      </c>
      <c r="T57" s="15"/>
      <c r="U57" s="17" t="s">
        <v>36</v>
      </c>
      <c r="V57" s="14"/>
      <c r="W57" s="14"/>
      <c r="X57" s="14"/>
      <c r="Y57" s="14"/>
      <c r="Z57" s="15"/>
      <c r="AA57" s="17" t="s">
        <v>34</v>
      </c>
      <c r="AB57" s="15"/>
      <c r="AC57" s="17" t="s">
        <v>37</v>
      </c>
      <c r="AD57" s="14"/>
      <c r="AE57" s="14"/>
      <c r="AF57" s="14"/>
      <c r="AG57" s="14"/>
      <c r="AH57" s="15"/>
      <c r="AI57" s="17" t="s">
        <v>34</v>
      </c>
      <c r="AJ57" s="15"/>
      <c r="AK57" s="10"/>
      <c r="AL57" s="10"/>
      <c r="AM57" s="10"/>
      <c r="AN57" s="10"/>
      <c r="AO57" s="10"/>
    </row>
    <row r="58" ht="15.75" customHeight="1">
      <c r="A58" s="6"/>
      <c r="E58" s="13" t="s">
        <v>38</v>
      </c>
      <c r="F58" s="15"/>
      <c r="G58" s="13" t="s">
        <v>39</v>
      </c>
      <c r="H58" s="15"/>
      <c r="I58" s="13" t="s">
        <v>40</v>
      </c>
      <c r="J58" s="15"/>
      <c r="K58" s="16" t="s">
        <v>41</v>
      </c>
      <c r="L58" s="15"/>
      <c r="M58" s="17" t="s">
        <v>42</v>
      </c>
      <c r="N58" s="15"/>
      <c r="O58" s="17" t="s">
        <v>43</v>
      </c>
      <c r="P58" s="15"/>
      <c r="Q58" s="17" t="s">
        <v>44</v>
      </c>
      <c r="R58" s="15"/>
      <c r="S58" s="17" t="s">
        <v>45</v>
      </c>
      <c r="T58" s="15"/>
      <c r="U58" s="17" t="s">
        <v>46</v>
      </c>
      <c r="V58" s="15"/>
      <c r="W58" s="17" t="s">
        <v>47</v>
      </c>
      <c r="X58" s="15"/>
      <c r="Y58" s="17" t="s">
        <v>48</v>
      </c>
      <c r="Z58" s="15"/>
      <c r="AA58" s="17" t="s">
        <v>49</v>
      </c>
      <c r="AB58" s="15"/>
      <c r="AC58" s="17" t="s">
        <v>50</v>
      </c>
      <c r="AD58" s="15"/>
      <c r="AE58" s="17" t="s">
        <v>51</v>
      </c>
      <c r="AF58" s="15"/>
      <c r="AG58" s="17" t="s">
        <v>52</v>
      </c>
      <c r="AH58" s="15"/>
      <c r="AI58" s="17" t="s">
        <v>53</v>
      </c>
      <c r="AJ58" s="15"/>
      <c r="AK58" s="10"/>
      <c r="AL58" s="10"/>
      <c r="AM58" s="10"/>
      <c r="AN58" s="10"/>
      <c r="AO58" s="10"/>
    </row>
    <row r="59" ht="15.75" customHeight="1">
      <c r="A59" s="18" t="s">
        <v>54</v>
      </c>
      <c r="B59" s="2"/>
      <c r="C59" s="1" t="s">
        <v>55</v>
      </c>
      <c r="E59" s="19" t="s">
        <v>56</v>
      </c>
      <c r="F59" s="19" t="s">
        <v>57</v>
      </c>
      <c r="G59" s="19" t="s">
        <v>56</v>
      </c>
      <c r="H59" s="19" t="s">
        <v>57</v>
      </c>
      <c r="I59" s="19" t="s">
        <v>56</v>
      </c>
      <c r="J59" s="19" t="s">
        <v>57</v>
      </c>
      <c r="K59" s="19" t="s">
        <v>56</v>
      </c>
      <c r="L59" s="20" t="s">
        <v>58</v>
      </c>
      <c r="M59" s="19" t="s">
        <v>56</v>
      </c>
      <c r="N59" s="19" t="s">
        <v>57</v>
      </c>
      <c r="O59" s="19" t="s">
        <v>56</v>
      </c>
      <c r="P59" s="19" t="s">
        <v>57</v>
      </c>
      <c r="Q59" s="19" t="s">
        <v>56</v>
      </c>
      <c r="R59" s="19" t="s">
        <v>57</v>
      </c>
      <c r="S59" s="19" t="s">
        <v>56</v>
      </c>
      <c r="T59" s="19" t="s">
        <v>58</v>
      </c>
      <c r="U59" s="19" t="s">
        <v>56</v>
      </c>
      <c r="V59" s="19" t="s">
        <v>57</v>
      </c>
      <c r="W59" s="19" t="s">
        <v>56</v>
      </c>
      <c r="X59" s="19" t="s">
        <v>57</v>
      </c>
      <c r="Y59" s="21" t="s">
        <v>56</v>
      </c>
      <c r="Z59" s="21" t="s">
        <v>57</v>
      </c>
      <c r="AA59" s="21" t="s">
        <v>56</v>
      </c>
      <c r="AB59" s="19" t="s">
        <v>58</v>
      </c>
      <c r="AC59" s="21" t="s">
        <v>56</v>
      </c>
      <c r="AD59" s="21" t="s">
        <v>57</v>
      </c>
      <c r="AE59" s="21" t="s">
        <v>56</v>
      </c>
      <c r="AF59" s="21" t="s">
        <v>57</v>
      </c>
      <c r="AG59" s="21" t="s">
        <v>56</v>
      </c>
      <c r="AH59" s="22" t="s">
        <v>57</v>
      </c>
      <c r="AI59" s="19" t="s">
        <v>56</v>
      </c>
      <c r="AJ59" s="19" t="s">
        <v>58</v>
      </c>
      <c r="AK59" s="4"/>
      <c r="AL59" s="4"/>
      <c r="AM59" s="4"/>
      <c r="AN59" s="4"/>
      <c r="AO59" s="4"/>
    </row>
    <row r="60" ht="15.75" customHeight="1">
      <c r="A60" s="23" t="s">
        <v>59</v>
      </c>
      <c r="B60" s="24"/>
      <c r="C60" s="24"/>
      <c r="D60" s="25"/>
      <c r="E60" s="19" t="s">
        <v>60</v>
      </c>
      <c r="F60" s="25" t="s">
        <v>61</v>
      </c>
      <c r="G60" s="19" t="s">
        <v>62</v>
      </c>
      <c r="H60" s="25" t="s">
        <v>63</v>
      </c>
      <c r="I60" s="19" t="s">
        <v>62</v>
      </c>
      <c r="J60" s="25" t="s">
        <v>61</v>
      </c>
      <c r="K60" s="26"/>
      <c r="L60" s="27"/>
      <c r="M60" s="28">
        <f>CEILING((100*K60)/(101.3-2.67123*L60)*0.7,2.5)</f>
        <v>0</v>
      </c>
      <c r="N60" s="25" t="s">
        <v>64</v>
      </c>
      <c r="O60" s="25">
        <f>CEILING((100*K60)/(101.3-2.67123*L60)*0.75,2.5)</f>
        <v>0</v>
      </c>
      <c r="P60" s="25" t="s">
        <v>65</v>
      </c>
      <c r="Q60" s="25">
        <f>CEILING((100*K60)/(101.3-2.67123*L60)*0.6,2.5)</f>
        <v>0</v>
      </c>
      <c r="R60" s="25" t="s">
        <v>66</v>
      </c>
      <c r="S60" s="25">
        <f>CEILING((100*K60)/(101.3-2.67123*L60)*0.855,2.5)</f>
        <v>0</v>
      </c>
      <c r="T60" s="25"/>
      <c r="U60" s="25">
        <f>CEILING((100*S60)/(101.3-2.67123*(T60+1))*0.725,2.5)</f>
        <v>0</v>
      </c>
      <c r="V60" s="25" t="s">
        <v>67</v>
      </c>
      <c r="W60" s="25">
        <f>CEILING((100*K60)/(101.3-2.67123*(L60+1))*0.8,2.5)</f>
        <v>0</v>
      </c>
      <c r="X60" s="25" t="s">
        <v>68</v>
      </c>
      <c r="Y60" s="25">
        <f>CEILING((100*K60)/(101.3-2.67123*(L60+1))*0.55,2.5)</f>
        <v>0</v>
      </c>
      <c r="Z60" s="25" t="s">
        <v>66</v>
      </c>
      <c r="AA60" s="25">
        <f>CEILING((100*S60)/(101.3-2.67123*T60)*0.855,2.5)</f>
        <v>0</v>
      </c>
      <c r="AB60" s="25"/>
      <c r="AC60" s="25">
        <f>CEILING((100*AA60)/(101.3-2.67123*(AB60+1))*0.75,2.5)</f>
        <v>0</v>
      </c>
      <c r="AD60" s="25" t="s">
        <v>65</v>
      </c>
      <c r="AE60" s="25">
        <f>CEILING((100*AA60)/(101.3-2.67123*(AB60+1))*0.825,2.5)</f>
        <v>0</v>
      </c>
      <c r="AF60" s="25" t="s">
        <v>69</v>
      </c>
      <c r="AG60" s="25">
        <f>CEILING((100*AA60)/(101.3-2.67123*(AB60+1))*0.55,2.5)</f>
        <v>0</v>
      </c>
      <c r="AH60" s="25" t="s">
        <v>63</v>
      </c>
      <c r="AI60" s="25">
        <f>CEILING((100*AA60)/(101.3-2.67123*AB60)*0.855,2.5)</f>
        <v>0</v>
      </c>
      <c r="AJ60" s="25"/>
      <c r="AK60" s="6"/>
      <c r="AL60" s="6"/>
      <c r="AM60" s="6"/>
      <c r="AN60" s="6"/>
      <c r="AO60" s="6"/>
    </row>
    <row r="61" ht="15.75" customHeight="1">
      <c r="A61" s="23" t="s">
        <v>70</v>
      </c>
      <c r="B61" s="24"/>
      <c r="C61" s="23"/>
      <c r="D61" s="25"/>
      <c r="E61" s="19" t="s">
        <v>60</v>
      </c>
      <c r="F61" s="25" t="s">
        <v>61</v>
      </c>
      <c r="G61" s="19" t="s">
        <v>62</v>
      </c>
      <c r="H61" s="25" t="s">
        <v>63</v>
      </c>
      <c r="I61" s="19" t="s">
        <v>62</v>
      </c>
      <c r="J61" s="25" t="s">
        <v>61</v>
      </c>
      <c r="K61" s="29"/>
      <c r="L61" s="30"/>
      <c r="M61" s="28">
        <f>CEILING((100*K61)/(101.3-2.67123*L61)*0.6,2.5)</f>
        <v>0</v>
      </c>
      <c r="N61" s="25" t="s">
        <v>63</v>
      </c>
      <c r="O61" s="25">
        <f>CEILING((100*K61)/(101.3-2.67123*L61)*0.8,2.5)</f>
        <v>0</v>
      </c>
      <c r="P61" s="25" t="s">
        <v>68</v>
      </c>
      <c r="Q61" s="25">
        <f>CEILING((100*K61)/(101.3-2.67123*L61)*0.7,2.5)</f>
        <v>0</v>
      </c>
      <c r="R61" s="25" t="s">
        <v>71</v>
      </c>
      <c r="S61" s="25">
        <f>CEILING((100*K61)/(101.3-2.67123*L61)*0.825,2.5)</f>
        <v>0</v>
      </c>
      <c r="T61" s="25"/>
      <c r="U61" s="25">
        <f>CEILING((100*S61)/(101.3-2.67123*T61)*0.65,2.5)</f>
        <v>0</v>
      </c>
      <c r="V61" s="25" t="s">
        <v>64</v>
      </c>
      <c r="W61" s="25">
        <f>CEILING((100*S61)/(101.3-2.67123*T61)*0.825,2.5)</f>
        <v>0</v>
      </c>
      <c r="X61" s="25" t="s">
        <v>69</v>
      </c>
      <c r="Y61" s="25">
        <f>CEILING((100*S61)/(101.3-2.67123*T61)*0.725,2.5)</f>
        <v>0</v>
      </c>
      <c r="Z61" s="25" t="s">
        <v>68</v>
      </c>
      <c r="AA61" s="25">
        <f>CEILING((100*S61)/(101.3-2.67123*(T61+1))*0.8,2.5)</f>
        <v>0</v>
      </c>
      <c r="AB61" s="25"/>
      <c r="AC61" s="25">
        <f>CEILING((100*AA61)/(101.3-2.67123*(AB61+1))*0.7,2.5)</f>
        <v>0</v>
      </c>
      <c r="AD61" s="25" t="s">
        <v>65</v>
      </c>
      <c r="AE61" s="25">
        <f>CEILING((100*AA61)/(101.3-2.67123*(AB61+1))*0.85,2.5)</f>
        <v>0</v>
      </c>
      <c r="AF61" s="25" t="s">
        <v>72</v>
      </c>
      <c r="AG61" s="25">
        <f>CEILING((100*AA61)/(101.3-2.67123*AB61)*0.65,2.5)</f>
        <v>0</v>
      </c>
      <c r="AH61" s="25" t="s">
        <v>64</v>
      </c>
      <c r="AI61" s="25">
        <f>CEILING((100*AA61)/(101.3-2.67123*(AB61+1))*0.85,2.5)</f>
        <v>0</v>
      </c>
      <c r="AJ61" s="25"/>
      <c r="AK61" s="6"/>
      <c r="AL61" s="6"/>
      <c r="AM61" s="6"/>
      <c r="AN61" s="6"/>
      <c r="AO61" s="6"/>
    </row>
    <row r="62" ht="15.75" customHeight="1">
      <c r="A62" s="23" t="s">
        <v>73</v>
      </c>
      <c r="B62" s="31"/>
      <c r="C62" s="24"/>
      <c r="D62" s="25"/>
      <c r="E62" s="19" t="s">
        <v>60</v>
      </c>
      <c r="F62" s="25" t="s">
        <v>61</v>
      </c>
      <c r="G62" s="19" t="s">
        <v>62</v>
      </c>
      <c r="H62" s="25" t="s">
        <v>63</v>
      </c>
      <c r="I62" s="19" t="s">
        <v>62</v>
      </c>
      <c r="J62" s="25" t="s">
        <v>61</v>
      </c>
      <c r="K62" s="29"/>
      <c r="L62" s="29"/>
      <c r="M62" s="28">
        <f>CEILING((100*K62)/(101.3-2.67123*L62)*0.6,10)</f>
        <v>0</v>
      </c>
      <c r="N62" s="25" t="s">
        <v>63</v>
      </c>
      <c r="O62" s="25">
        <f>CEILING((100*K62)/(101.3-2.67123*L62)*0.7,10)</f>
        <v>0</v>
      </c>
      <c r="P62" s="25" t="s">
        <v>74</v>
      </c>
      <c r="Q62" s="25">
        <f>CEILING((100*K62)/(101.3-2.67123*L62)*0.5,10)</f>
        <v>0</v>
      </c>
      <c r="R62" s="25" t="s">
        <v>63</v>
      </c>
      <c r="S62" s="25">
        <f>CEILING((100*K62)/(101.3-2.67123*L62)*0.825,10)</f>
        <v>0</v>
      </c>
      <c r="T62" s="25"/>
      <c r="U62" s="25">
        <f>CEILING((100*S62)/(101.3-2.67123*T62)*0.65,10)</f>
        <v>0</v>
      </c>
      <c r="V62" s="25" t="s">
        <v>64</v>
      </c>
      <c r="W62" s="25">
        <f>CEILING((100*S62)/(101.3-2.67123*T62)*0.75,10)</f>
        <v>0</v>
      </c>
      <c r="X62" s="25" t="s">
        <v>65</v>
      </c>
      <c r="Y62" s="25">
        <f>CEILING((100*S62)/(101.3-2.67123*T62)*0.5,10)</f>
        <v>0</v>
      </c>
      <c r="Z62" s="25" t="s">
        <v>66</v>
      </c>
      <c r="AA62" s="25">
        <f>CEILING((100*S62)/(101.3-2.67123*T62)*0.825,10)</f>
        <v>0</v>
      </c>
      <c r="AB62" s="25"/>
      <c r="AC62" s="25">
        <f>CEILING((100*AA62)/(101.3-2.67123*AB62)*0.6,10)</f>
        <v>0</v>
      </c>
      <c r="AD62" s="25" t="s">
        <v>66</v>
      </c>
      <c r="AE62" s="25">
        <f>CEILING((100*AA62)/(101.3-2.67123*AB62)*0.7,10)</f>
        <v>0</v>
      </c>
      <c r="AF62" s="25" t="s">
        <v>66</v>
      </c>
      <c r="AG62" s="25">
        <f>CEILING((100*AA62)/(101.3-2.67123*AB62)*0.5,10)</f>
        <v>0</v>
      </c>
      <c r="AH62" s="25" t="s">
        <v>66</v>
      </c>
      <c r="AI62" s="25">
        <f>CEILING((100*AA62)/(101.3-2.67123*AB62)*0.85,10)</f>
        <v>0</v>
      </c>
      <c r="AJ62" s="25"/>
      <c r="AK62" s="6"/>
      <c r="AL62" s="6"/>
      <c r="AM62" s="6"/>
      <c r="AN62" s="6"/>
      <c r="AO62" s="6"/>
    </row>
    <row r="63" ht="15.75" customHeight="1">
      <c r="A63" s="32" t="s">
        <v>75</v>
      </c>
      <c r="B63" s="24"/>
      <c r="C63" s="24"/>
      <c r="D63" s="25"/>
      <c r="E63" s="19" t="s">
        <v>76</v>
      </c>
      <c r="F63" s="25" t="s">
        <v>61</v>
      </c>
      <c r="G63" s="19" t="s">
        <v>60</v>
      </c>
      <c r="H63" s="25" t="s">
        <v>63</v>
      </c>
      <c r="I63" s="20" t="s">
        <v>60</v>
      </c>
      <c r="J63" s="25" t="s">
        <v>61</v>
      </c>
      <c r="K63" s="29"/>
      <c r="L63" s="29"/>
      <c r="M63" s="28">
        <f>CEILING((100*K63)/(101.3-2.67123*L63)*0.6,2.5)</f>
        <v>0</v>
      </c>
      <c r="N63" s="25" t="s">
        <v>63</v>
      </c>
      <c r="O63" s="25">
        <f>CEILING((100*K63)/(101.3-2.67123*L63)*0.7,2.5)</f>
        <v>0</v>
      </c>
      <c r="P63" s="25" t="s">
        <v>64</v>
      </c>
      <c r="Q63" s="25">
        <f>CEILING((100*K63)/(101.3-2.67123*L63)*0.5,2.5)</f>
        <v>0</v>
      </c>
      <c r="R63" s="25" t="s">
        <v>66</v>
      </c>
      <c r="S63" s="25">
        <f>CEILING((100*K63)/(101.3-2.67123*L63)*0.825,2.5)</f>
        <v>0</v>
      </c>
      <c r="T63" s="25"/>
      <c r="U63" s="25">
        <f>CEILING((100*S63)/(101.3-2.67123*T63)*0.65,2.5)</f>
        <v>0</v>
      </c>
      <c r="V63" s="25" t="s">
        <v>64</v>
      </c>
      <c r="W63" s="25">
        <f>CEILING((100*S63)/(101.3-2.67123*T63)*0.75,2.5)</f>
        <v>0</v>
      </c>
      <c r="X63" s="25" t="s">
        <v>65</v>
      </c>
      <c r="Y63" s="25">
        <f>CEILING((100*S63)/(101.3-2.67123*T63)*0.5,2.5)</f>
        <v>0</v>
      </c>
      <c r="Z63" s="33" t="s">
        <v>63</v>
      </c>
      <c r="AA63" s="25">
        <f>CEILING((100*S63)/(101.3-2.67123*T63)*0.825,2.5)</f>
        <v>0</v>
      </c>
      <c r="AB63" s="25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ht="15.75" customHeight="1">
      <c r="A64" s="23" t="s">
        <v>77</v>
      </c>
      <c r="B64" s="24"/>
      <c r="C64" s="34"/>
      <c r="D64" s="25"/>
      <c r="E64" s="19" t="s">
        <v>76</v>
      </c>
      <c r="F64" s="25" t="s">
        <v>61</v>
      </c>
      <c r="G64" s="19" t="s">
        <v>60</v>
      </c>
      <c r="H64" s="35" t="s">
        <v>63</v>
      </c>
      <c r="I64" s="19" t="s">
        <v>60</v>
      </c>
      <c r="J64" s="25" t="s">
        <v>61</v>
      </c>
      <c r="K64" s="19" t="s">
        <v>60</v>
      </c>
      <c r="L64" s="25" t="s">
        <v>78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ht="15.75" customHeight="1">
      <c r="A65" s="23" t="s">
        <v>79</v>
      </c>
      <c r="B65" s="25"/>
      <c r="C65" s="25"/>
      <c r="D65" s="25"/>
      <c r="E65" s="19" t="s">
        <v>76</v>
      </c>
      <c r="F65" s="25" t="s">
        <v>61</v>
      </c>
      <c r="G65" s="19" t="s">
        <v>60</v>
      </c>
      <c r="H65" s="25" t="s">
        <v>63</v>
      </c>
      <c r="I65" s="19" t="s">
        <v>60</v>
      </c>
      <c r="J65" s="25" t="s">
        <v>61</v>
      </c>
      <c r="K65" s="19" t="s">
        <v>60</v>
      </c>
      <c r="L65" s="25" t="s">
        <v>78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ht="15.75" customHeight="1">
      <c r="A66" s="23" t="s">
        <v>80</v>
      </c>
      <c r="B66" s="24"/>
      <c r="C66" s="24" t="s">
        <v>81</v>
      </c>
      <c r="D66" s="25"/>
      <c r="E66" s="19" t="s">
        <v>82</v>
      </c>
      <c r="F66" s="25" t="s">
        <v>61</v>
      </c>
      <c r="G66" s="19" t="s">
        <v>82</v>
      </c>
      <c r="H66" s="25" t="s">
        <v>63</v>
      </c>
      <c r="I66" s="19" t="s">
        <v>82</v>
      </c>
      <c r="J66" s="25" t="s">
        <v>66</v>
      </c>
      <c r="K66" s="19" t="s">
        <v>82</v>
      </c>
      <c r="L66" s="25" t="s">
        <v>61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T66" s="6"/>
      <c r="AU66" s="6"/>
    </row>
    <row r="67" ht="15.75" customHeight="1">
      <c r="AK67" s="6"/>
      <c r="AL67" s="6"/>
      <c r="AM67" s="6"/>
      <c r="AN67" s="6"/>
      <c r="AO67" s="6"/>
      <c r="AT67" s="6"/>
      <c r="AU67" s="6"/>
    </row>
    <row r="68" ht="15.75" customHeight="1">
      <c r="A68" s="9"/>
      <c r="AL68" s="6"/>
      <c r="AM68" s="6"/>
      <c r="AN68" s="6"/>
      <c r="AO68" s="6"/>
      <c r="AR68" s="6"/>
      <c r="AS68" s="6"/>
      <c r="AT68" s="6"/>
      <c r="AU68" s="6"/>
    </row>
    <row r="69" ht="15.75" customHeight="1">
      <c r="A69" s="9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ht="15.75" customHeight="1">
      <c r="A70" s="18" t="s">
        <v>83</v>
      </c>
      <c r="B70" s="2"/>
      <c r="C70" s="1" t="s">
        <v>55</v>
      </c>
      <c r="E70" s="19" t="s">
        <v>56</v>
      </c>
      <c r="F70" s="19" t="s">
        <v>57</v>
      </c>
      <c r="G70" s="19" t="s">
        <v>56</v>
      </c>
      <c r="H70" s="19" t="s">
        <v>57</v>
      </c>
      <c r="I70" s="19" t="s">
        <v>56</v>
      </c>
      <c r="J70" s="19" t="s">
        <v>57</v>
      </c>
      <c r="K70" s="20" t="s">
        <v>56</v>
      </c>
      <c r="L70" s="20" t="s">
        <v>58</v>
      </c>
      <c r="M70" s="19" t="s">
        <v>56</v>
      </c>
      <c r="N70" s="19" t="s">
        <v>57</v>
      </c>
      <c r="O70" s="19" t="s">
        <v>56</v>
      </c>
      <c r="P70" s="19" t="s">
        <v>57</v>
      </c>
      <c r="Q70" s="19" t="s">
        <v>56</v>
      </c>
      <c r="R70" s="19" t="s">
        <v>57</v>
      </c>
      <c r="S70" s="19" t="s">
        <v>56</v>
      </c>
      <c r="T70" s="19" t="s">
        <v>58</v>
      </c>
      <c r="U70" s="19" t="s">
        <v>56</v>
      </c>
      <c r="V70" s="19" t="s">
        <v>57</v>
      </c>
      <c r="W70" s="19" t="s">
        <v>56</v>
      </c>
      <c r="X70" s="19" t="s">
        <v>57</v>
      </c>
      <c r="Y70" s="19" t="s">
        <v>56</v>
      </c>
      <c r="Z70" s="19" t="s">
        <v>57</v>
      </c>
      <c r="AA70" s="19" t="s">
        <v>56</v>
      </c>
      <c r="AB70" s="19" t="s">
        <v>58</v>
      </c>
      <c r="AC70" s="19" t="s">
        <v>56</v>
      </c>
      <c r="AD70" s="19" t="s">
        <v>57</v>
      </c>
      <c r="AE70" s="19" t="s">
        <v>56</v>
      </c>
      <c r="AF70" s="19" t="s">
        <v>57</v>
      </c>
      <c r="AG70" s="19" t="s">
        <v>56</v>
      </c>
      <c r="AH70" s="19" t="s">
        <v>57</v>
      </c>
      <c r="AI70" s="19" t="s">
        <v>56</v>
      </c>
      <c r="AJ70" s="19" t="s">
        <v>58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ht="15.75" customHeight="1">
      <c r="A71" s="23" t="s">
        <v>84</v>
      </c>
      <c r="B71" s="24"/>
      <c r="C71" s="24"/>
      <c r="D71" s="25"/>
      <c r="E71" s="21" t="s">
        <v>60</v>
      </c>
      <c r="F71" s="36" t="s">
        <v>61</v>
      </c>
      <c r="G71" s="21" t="s">
        <v>62</v>
      </c>
      <c r="H71" s="25" t="s">
        <v>63</v>
      </c>
      <c r="I71" s="19" t="s">
        <v>62</v>
      </c>
      <c r="J71" s="36" t="s">
        <v>61</v>
      </c>
      <c r="K71" s="37"/>
      <c r="L71" s="29"/>
      <c r="M71" s="38">
        <f>CEILING((100*K71)/(101.3-2.67123*L71)*0.6,2.5)</f>
        <v>0</v>
      </c>
      <c r="N71" s="36" t="s">
        <v>66</v>
      </c>
      <c r="O71" s="36">
        <f>CEILING((100*K71)/(101.3-2.67123*L71)*0.8,2.5)</f>
        <v>0</v>
      </c>
      <c r="P71" s="36" t="s">
        <v>68</v>
      </c>
      <c r="Q71" s="36">
        <f>CEILING((100*K71)/(101.3-2.67123*L71)*0.7,2.5)</f>
        <v>0</v>
      </c>
      <c r="R71" s="36" t="s">
        <v>63</v>
      </c>
      <c r="S71" s="36">
        <f t="shared" ref="S71:S73" si="1">CEILING((100*K71)/(101.3-2.67123*L71)*0.825,2.5)</f>
        <v>0</v>
      </c>
      <c r="T71" s="36"/>
      <c r="U71" s="38">
        <f>CEILING((100*S71)/(101.3-2.67123*T71)*0.55,2.5)</f>
        <v>0</v>
      </c>
      <c r="V71" s="36" t="s">
        <v>66</v>
      </c>
      <c r="W71" s="36">
        <f>CEILING((100*S71)/(101.3-2.67123*T71)*0.825,2.5)</f>
        <v>0</v>
      </c>
      <c r="X71" s="36" t="s">
        <v>69</v>
      </c>
      <c r="Y71" s="36">
        <f>CEILING((100*S71)/(101.3-2.67123*T71)*0.7,2.5)</f>
        <v>0</v>
      </c>
      <c r="Z71" s="36" t="s">
        <v>64</v>
      </c>
      <c r="AA71" s="36">
        <f>CEILING((100*S71)/(101.3-2.67123*T71)*0.8,2.5)</f>
        <v>0</v>
      </c>
      <c r="AB71" s="25"/>
      <c r="AC71" s="28">
        <f>CEILING((100*AA71)/(101.3-2.67123*AB71)*0.5,2.5)</f>
        <v>0</v>
      </c>
      <c r="AD71" s="25" t="s">
        <v>66</v>
      </c>
      <c r="AE71" s="25">
        <f>CEILING((100*AA71)/(101.3-2.67123*AB71)*0.85,2.5)</f>
        <v>0</v>
      </c>
      <c r="AF71" s="25" t="s">
        <v>85</v>
      </c>
      <c r="AG71" s="25">
        <f>CEILING((100*AA71)/(101.3-2.67123*AB71)*0.7,2.5)</f>
        <v>0</v>
      </c>
      <c r="AH71" s="25" t="s">
        <v>65</v>
      </c>
      <c r="AI71" s="25">
        <f>CEILING((100*AA71)/(101.3-2.67123*AB71)*0.85,2.5)</f>
        <v>0</v>
      </c>
      <c r="AJ71" s="25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ht="15.75" customHeight="1">
      <c r="A72" s="23" t="s">
        <v>86</v>
      </c>
      <c r="B72" s="39"/>
      <c r="C72" s="23" t="s">
        <v>87</v>
      </c>
      <c r="D72" s="40"/>
      <c r="E72" s="19" t="s">
        <v>60</v>
      </c>
      <c r="F72" s="25" t="s">
        <v>61</v>
      </c>
      <c r="G72" s="21" t="s">
        <v>62</v>
      </c>
      <c r="H72" s="25" t="s">
        <v>63</v>
      </c>
      <c r="I72" s="19" t="s">
        <v>62</v>
      </c>
      <c r="J72" s="25" t="s">
        <v>61</v>
      </c>
      <c r="K72" s="29"/>
      <c r="L72" s="30"/>
      <c r="M72" s="28">
        <f>CEILING((100*K72)/(101.3-2.67123*L72)*0.7,2.5)</f>
        <v>0</v>
      </c>
      <c r="N72" s="25" t="s">
        <v>74</v>
      </c>
      <c r="O72" s="25">
        <f>CEILING((100*K72)/(101.3-2.67123*L72)*0.825,2.5)</f>
        <v>0</v>
      </c>
      <c r="P72" s="25" t="s">
        <v>68</v>
      </c>
      <c r="Q72" s="25">
        <f>CEILING((100*K72)/(101.3-2.67123*L72)*0.725,2.5)</f>
        <v>0</v>
      </c>
      <c r="R72" s="25" t="s">
        <v>65</v>
      </c>
      <c r="S72" s="25">
        <f t="shared" si="1"/>
        <v>0</v>
      </c>
      <c r="T72" s="25"/>
      <c r="U72" s="25">
        <f>CEILING((100*S72)/(101.3-2.67123*T72)*0.7,2.5)</f>
        <v>0</v>
      </c>
      <c r="V72" s="25" t="s">
        <v>66</v>
      </c>
      <c r="W72" s="25">
        <f>CEILING((100*S72)/(101.3-2.67123*T72)*0.85,2.5)</f>
        <v>0</v>
      </c>
      <c r="X72" s="25" t="s">
        <v>69</v>
      </c>
      <c r="Y72" s="25">
        <f>CEILING((100*S72)/(101.3-2.67123*T72)*0.725,2.5)</f>
        <v>0</v>
      </c>
      <c r="Z72" s="25" t="s">
        <v>64</v>
      </c>
      <c r="AA72" s="25">
        <f>CEILING((100*S72)/(101.3-2.67123*(T72+1))*0.8,2.5)</f>
        <v>0</v>
      </c>
      <c r="AB72" s="25"/>
      <c r="AC72" s="25">
        <f>CEILING((100*AA72)/(101.3-2.67123*(AB72+1))*0.75,2.5)</f>
        <v>0</v>
      </c>
      <c r="AD72" s="25" t="s">
        <v>65</v>
      </c>
      <c r="AE72" s="25">
        <f>CEILING((100*AA72)/(101.3-2.67123*(AB72+1))*0.875,2.5)</f>
        <v>0</v>
      </c>
      <c r="AF72" s="25" t="s">
        <v>88</v>
      </c>
      <c r="AG72" s="25">
        <f>CEILING((100*AA72)/(101.3-2.67123*AB72)*0.75,2.5)</f>
        <v>0</v>
      </c>
      <c r="AH72" s="25" t="s">
        <v>71</v>
      </c>
      <c r="AI72" s="25">
        <f>CEILING((100*AA72)/(101.3-2.67123*(AB72+1))*0.85,2.5)</f>
        <v>0</v>
      </c>
      <c r="AJ72" s="25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ht="15.75" customHeight="1">
      <c r="A73" s="23" t="s">
        <v>89</v>
      </c>
      <c r="B73" s="24"/>
      <c r="C73" s="24"/>
      <c r="D73" s="25"/>
      <c r="E73" s="19" t="s">
        <v>60</v>
      </c>
      <c r="F73" s="25" t="s">
        <v>61</v>
      </c>
      <c r="G73" s="19" t="s">
        <v>62</v>
      </c>
      <c r="H73" s="25" t="s">
        <v>63</v>
      </c>
      <c r="I73" s="19" t="s">
        <v>62</v>
      </c>
      <c r="J73" s="25" t="s">
        <v>61</v>
      </c>
      <c r="K73" s="26"/>
      <c r="L73" s="26"/>
      <c r="M73" s="28">
        <f>CEILING((100*K73)/(101.3-2.67123*L73)*0.6,2.5)</f>
        <v>0</v>
      </c>
      <c r="N73" s="25" t="s">
        <v>63</v>
      </c>
      <c r="O73" s="25">
        <f>CEILING((100*K73)/(101.3-2.67123*L73)*0.7,2.5)</f>
        <v>0</v>
      </c>
      <c r="P73" s="25" t="s">
        <v>74</v>
      </c>
      <c r="Q73" s="25">
        <f>CEILING((100*K73)/(101.3-2.67123*L73)*0.5,2.5)</f>
        <v>0</v>
      </c>
      <c r="R73" s="25" t="s">
        <v>63</v>
      </c>
      <c r="S73" s="25">
        <f t="shared" si="1"/>
        <v>0</v>
      </c>
      <c r="T73" s="25"/>
      <c r="U73" s="25">
        <f>CEILING((100*S73)/(101.3-2.67123*(T73+1))*0.65,2.5)</f>
        <v>0</v>
      </c>
      <c r="V73" s="25" t="s">
        <v>64</v>
      </c>
      <c r="W73" s="25">
        <f>CEILING((100*K73)/(101.3-2.67123*(L73+1))*0.75,2.5)</f>
        <v>0</v>
      </c>
      <c r="X73" s="25" t="s">
        <v>71</v>
      </c>
      <c r="Y73" s="25">
        <f>CEILING((100*K73)/(101.3-2.67123*(L73+1))*0.65,2.5)</f>
        <v>0</v>
      </c>
      <c r="Z73" s="25" t="s">
        <v>63</v>
      </c>
      <c r="AA73" s="25">
        <f>CEILING((100*S73)/(101.3-2.67123*T73)*0.8,2.5)</f>
        <v>0</v>
      </c>
      <c r="AB73" s="25"/>
      <c r="AC73" s="25">
        <f>CEILING((100*AA73)/(101.3-2.67123*(AB73+1))*0.6,2.5)</f>
        <v>0</v>
      </c>
      <c r="AD73" s="25" t="s">
        <v>65</v>
      </c>
      <c r="AE73" s="25">
        <f>CEILING((100*AA73)/(101.3-2.67123*(AB73+1))*0.8,2.5)</f>
        <v>0</v>
      </c>
      <c r="AF73" s="25" t="s">
        <v>90</v>
      </c>
      <c r="AG73" s="25">
        <f>CEILING((100*AA73)/(101.3-2.67123*(AB73+1))*0.6,2.5)</f>
        <v>0</v>
      </c>
      <c r="AH73" s="25" t="s">
        <v>66</v>
      </c>
      <c r="AI73" s="25">
        <f>CEILING((100*AA73)/(101.3-2.67123*AB73)*0.85,2.5)</f>
        <v>0</v>
      </c>
      <c r="AJ73" s="25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ht="15.75" customHeight="1">
      <c r="A74" s="23" t="s">
        <v>91</v>
      </c>
      <c r="B74" s="24"/>
      <c r="C74" s="24"/>
      <c r="D74" s="25"/>
      <c r="E74" s="20" t="s">
        <v>76</v>
      </c>
      <c r="F74" s="25" t="s">
        <v>61</v>
      </c>
      <c r="G74" s="19" t="s">
        <v>60</v>
      </c>
      <c r="H74" s="25" t="s">
        <v>63</v>
      </c>
      <c r="I74" s="20" t="s">
        <v>60</v>
      </c>
      <c r="J74" s="25" t="s">
        <v>61</v>
      </c>
      <c r="K74" s="29"/>
      <c r="L74" s="29"/>
      <c r="M74" s="28">
        <f>CEILING((100*K74)/(101.3-2.67123*L74)*0.6,2)</f>
        <v>0</v>
      </c>
      <c r="N74" s="25" t="s">
        <v>92</v>
      </c>
      <c r="O74" s="25">
        <f>CEILING((100*K74)/(101.3-2.67123*L74)*0.7,2)</f>
        <v>0</v>
      </c>
      <c r="P74" s="25" t="s">
        <v>63</v>
      </c>
      <c r="Q74" s="25">
        <f>CEILING((100*K74)/(101.3-2.67123*L74)*0.5,2)</f>
        <v>0</v>
      </c>
      <c r="R74" s="25" t="s">
        <v>93</v>
      </c>
      <c r="S74" s="25">
        <f>CEILING((100*K74)/(101.3-2.67123*L74)*0.825,2)</f>
        <v>0</v>
      </c>
      <c r="T74" s="25"/>
      <c r="U74" s="25">
        <f>CEILING((100*S74)/(101.3-2.67123*T74)*0.6,2)</f>
        <v>0</v>
      </c>
      <c r="V74" s="25" t="s">
        <v>92</v>
      </c>
      <c r="W74" s="25">
        <f>CEILING((100*S74)/(101.3-2.67123*T74)*0.7,2)</f>
        <v>0</v>
      </c>
      <c r="X74" s="25" t="s">
        <v>63</v>
      </c>
      <c r="Y74" s="25">
        <f>CEILING((100*S74)/(101.3-2.67123*T74)*0.5,2)</f>
        <v>0</v>
      </c>
      <c r="Z74" s="25" t="s">
        <v>93</v>
      </c>
      <c r="AA74" s="25">
        <f>CEILING((100*S74)/(101.3-2.67123*T74)*0.8,2)</f>
        <v>0</v>
      </c>
      <c r="AB74" s="25"/>
      <c r="AC74" s="6"/>
      <c r="AD74" s="6"/>
      <c r="AE74" s="6"/>
      <c r="AF74" s="6"/>
      <c r="AG74" s="6"/>
      <c r="AH74" s="6"/>
      <c r="AI74" s="6"/>
      <c r="AJ74" s="6"/>
      <c r="AN74" s="4"/>
      <c r="AO74" s="6"/>
      <c r="AP74" s="6"/>
      <c r="AQ74" s="6"/>
      <c r="AR74" s="6"/>
      <c r="AS74" s="6"/>
      <c r="AT74" s="6"/>
      <c r="AU74" s="6"/>
    </row>
    <row r="75" ht="15.75" customHeight="1">
      <c r="A75" s="23" t="s">
        <v>94</v>
      </c>
      <c r="B75" s="24"/>
      <c r="C75" s="24" t="s">
        <v>95</v>
      </c>
      <c r="D75" s="25"/>
      <c r="E75" s="19" t="s">
        <v>76</v>
      </c>
      <c r="F75" s="25" t="s">
        <v>61</v>
      </c>
      <c r="G75" s="19" t="s">
        <v>60</v>
      </c>
      <c r="H75" s="35" t="s">
        <v>63</v>
      </c>
      <c r="I75" s="19" t="s">
        <v>60</v>
      </c>
      <c r="J75" s="35" t="s">
        <v>61</v>
      </c>
      <c r="K75" s="21" t="s">
        <v>60</v>
      </c>
      <c r="L75" s="36" t="s">
        <v>78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4"/>
      <c r="AM75" s="6"/>
      <c r="AN75" s="6"/>
      <c r="AO75" s="6"/>
      <c r="AP75" s="6"/>
      <c r="AQ75" s="6"/>
      <c r="AR75" s="6"/>
      <c r="AS75" s="6"/>
      <c r="AT75" s="6"/>
      <c r="AU75" s="6"/>
    </row>
    <row r="76" ht="15.75" customHeight="1">
      <c r="A76" s="23" t="s">
        <v>96</v>
      </c>
      <c r="B76" s="40"/>
      <c r="C76" s="40"/>
      <c r="D76" s="40"/>
      <c r="E76" s="20" t="s">
        <v>76</v>
      </c>
      <c r="F76" s="40" t="s">
        <v>61</v>
      </c>
      <c r="G76" s="19" t="s">
        <v>60</v>
      </c>
      <c r="H76" s="25" t="s">
        <v>63</v>
      </c>
      <c r="I76" s="20" t="s">
        <v>60</v>
      </c>
      <c r="J76" s="41" t="s">
        <v>61</v>
      </c>
      <c r="K76" s="19" t="s">
        <v>60</v>
      </c>
      <c r="L76" s="25" t="s">
        <v>78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P76" s="6"/>
      <c r="AQ76" s="6"/>
      <c r="AR76" s="6"/>
      <c r="AS76" s="6"/>
    </row>
    <row r="77" ht="15.75" customHeight="1">
      <c r="A77" s="23" t="s">
        <v>97</v>
      </c>
      <c r="B77" s="24"/>
      <c r="C77" s="24"/>
      <c r="D77" s="25"/>
      <c r="E77" s="19" t="s">
        <v>82</v>
      </c>
      <c r="F77" s="25" t="s">
        <v>61</v>
      </c>
      <c r="G77" s="19" t="s">
        <v>82</v>
      </c>
      <c r="H77" s="25" t="s">
        <v>63</v>
      </c>
      <c r="I77" s="19" t="s">
        <v>82</v>
      </c>
      <c r="J77" s="35" t="s">
        <v>66</v>
      </c>
      <c r="K77" s="19" t="s">
        <v>82</v>
      </c>
      <c r="L77" s="25" t="s">
        <v>61</v>
      </c>
      <c r="M77" s="4"/>
      <c r="N77" s="6"/>
      <c r="O77" s="4"/>
      <c r="P77" s="6"/>
      <c r="Q77" s="4"/>
      <c r="R77" s="6"/>
      <c r="S77" s="4"/>
      <c r="T77" s="6"/>
      <c r="U77" s="4"/>
      <c r="V77" s="6"/>
      <c r="W77" s="4"/>
      <c r="X77" s="6"/>
      <c r="Y77" s="4"/>
      <c r="Z77" s="6"/>
      <c r="AA77" s="4"/>
      <c r="AB77" s="6"/>
      <c r="AC77" s="4"/>
      <c r="AD77" s="6"/>
      <c r="AE77" s="4"/>
      <c r="AF77" s="6"/>
      <c r="AG77" s="4"/>
      <c r="AH77" s="6"/>
      <c r="AI77" s="4"/>
      <c r="AJ77" s="6"/>
      <c r="AK77" s="6"/>
      <c r="AN77" s="6"/>
      <c r="AO77" s="6"/>
      <c r="AP77" s="6"/>
      <c r="AQ77" s="6"/>
      <c r="AR77" s="6"/>
      <c r="AS77" s="6"/>
    </row>
    <row r="78" ht="15.75" customHeight="1">
      <c r="AK78" s="6"/>
      <c r="AL78" s="6"/>
      <c r="AM78" s="6"/>
    </row>
    <row r="79" ht="15.75" customHeight="1">
      <c r="A79" s="9"/>
      <c r="AN79" s="6"/>
      <c r="AO79" s="6"/>
      <c r="AP79" s="6"/>
      <c r="AQ79" s="6"/>
    </row>
    <row r="80" ht="15.75" customHeight="1">
      <c r="A80" s="9"/>
      <c r="AM80" s="6"/>
      <c r="AN80" s="6"/>
      <c r="AO80" s="6"/>
    </row>
    <row r="81" ht="15.75" customHeight="1">
      <c r="A81" s="18" t="s">
        <v>98</v>
      </c>
      <c r="B81" s="2"/>
      <c r="C81" s="1" t="s">
        <v>55</v>
      </c>
      <c r="E81" s="19" t="s">
        <v>56</v>
      </c>
      <c r="F81" s="19" t="s">
        <v>57</v>
      </c>
      <c r="G81" s="19" t="s">
        <v>56</v>
      </c>
      <c r="H81" s="19" t="s">
        <v>57</v>
      </c>
      <c r="I81" s="19" t="s">
        <v>56</v>
      </c>
      <c r="J81" s="19" t="s">
        <v>57</v>
      </c>
      <c r="K81" s="20" t="s">
        <v>56</v>
      </c>
      <c r="L81" s="20" t="s">
        <v>58</v>
      </c>
      <c r="M81" s="19" t="s">
        <v>56</v>
      </c>
      <c r="N81" s="19" t="s">
        <v>57</v>
      </c>
      <c r="O81" s="19" t="s">
        <v>56</v>
      </c>
      <c r="P81" s="19" t="s">
        <v>57</v>
      </c>
      <c r="Q81" s="19" t="s">
        <v>56</v>
      </c>
      <c r="R81" s="19" t="s">
        <v>57</v>
      </c>
      <c r="S81" s="19" t="s">
        <v>56</v>
      </c>
      <c r="T81" s="19" t="s">
        <v>58</v>
      </c>
      <c r="U81" s="19" t="s">
        <v>56</v>
      </c>
      <c r="V81" s="19" t="s">
        <v>57</v>
      </c>
      <c r="W81" s="19" t="s">
        <v>56</v>
      </c>
      <c r="X81" s="19" t="s">
        <v>57</v>
      </c>
      <c r="Y81" s="19" t="s">
        <v>56</v>
      </c>
      <c r="Z81" s="19" t="s">
        <v>57</v>
      </c>
      <c r="AA81" s="19" t="s">
        <v>56</v>
      </c>
      <c r="AB81" s="19" t="s">
        <v>58</v>
      </c>
      <c r="AC81" s="19" t="s">
        <v>56</v>
      </c>
      <c r="AD81" s="19" t="s">
        <v>57</v>
      </c>
      <c r="AE81" s="19" t="s">
        <v>56</v>
      </c>
      <c r="AF81" s="19" t="s">
        <v>57</v>
      </c>
      <c r="AG81" s="19" t="s">
        <v>56</v>
      </c>
      <c r="AH81" s="19" t="s">
        <v>57</v>
      </c>
      <c r="AI81" s="19" t="s">
        <v>56</v>
      </c>
      <c r="AJ81" s="19" t="s">
        <v>58</v>
      </c>
      <c r="AK81" s="6"/>
      <c r="AL81" s="6"/>
      <c r="AM81" s="6"/>
      <c r="AN81" s="6"/>
      <c r="AO81" s="6"/>
    </row>
    <row r="82" ht="15.75" customHeight="1">
      <c r="A82" s="23" t="s">
        <v>99</v>
      </c>
      <c r="B82" s="24"/>
      <c r="C82" s="24" t="s">
        <v>100</v>
      </c>
      <c r="D82" s="25"/>
      <c r="E82" s="19" t="s">
        <v>60</v>
      </c>
      <c r="F82" s="25" t="s">
        <v>61</v>
      </c>
      <c r="G82" s="21" t="s">
        <v>62</v>
      </c>
      <c r="H82" s="25" t="s">
        <v>63</v>
      </c>
      <c r="I82" s="19" t="s">
        <v>62</v>
      </c>
      <c r="J82" s="25" t="s">
        <v>61</v>
      </c>
      <c r="K82" s="29"/>
      <c r="L82" s="30"/>
      <c r="M82" s="28">
        <f>CEILING((100*K82)/(101.3-2.67123*L82)*0.6,2.5)</f>
        <v>0</v>
      </c>
      <c r="N82" s="25" t="s">
        <v>64</v>
      </c>
      <c r="O82" s="25">
        <f>CEILING((100*K82)/(101.3-2.67123*L82)*0.8,2.5)</f>
        <v>0</v>
      </c>
      <c r="P82" s="25" t="s">
        <v>68</v>
      </c>
      <c r="Q82" s="25">
        <f>CEILING((100*K82)/(101.3-2.67123*L82)*0.7,2.5)</f>
        <v>0</v>
      </c>
      <c r="R82" s="25" t="s">
        <v>71</v>
      </c>
      <c r="S82" s="25">
        <f t="shared" ref="S82:S84" si="2">CEILING((100*K82)/(101.3-2.67123*L82)*0.825,2.5)</f>
        <v>0</v>
      </c>
      <c r="T82" s="25"/>
      <c r="U82" s="25">
        <f>CEILING((100*S82)/(101.3-2.67123*T82)*0.6,2.5)</f>
        <v>0</v>
      </c>
      <c r="V82" s="25" t="s">
        <v>66</v>
      </c>
      <c r="W82" s="25">
        <f>CEILING((100*S82)/(101.3-2.67123*T82)*0.825,2.5)</f>
        <v>0</v>
      </c>
      <c r="X82" s="25" t="s">
        <v>69</v>
      </c>
      <c r="Y82" s="25">
        <f>CEILING((100*S82)/(101.3-2.67123*T82)*0.725,2.5)</f>
        <v>0</v>
      </c>
      <c r="Z82" s="25" t="s">
        <v>68</v>
      </c>
      <c r="AA82" s="25">
        <f>CEILING((100*S82)/(101.3-2.67123*(T82+1))*0.825,2.5)</f>
        <v>0</v>
      </c>
      <c r="AB82" s="25"/>
      <c r="AC82" s="25">
        <f>CEILING((100*AA82)/(101.3-2.67123*(AB82+1))*0.65,2.5)</f>
        <v>0</v>
      </c>
      <c r="AD82" s="25" t="s">
        <v>67</v>
      </c>
      <c r="AE82" s="25">
        <f>CEILING((100*AA82)/(101.3-2.67123*(AB82+1))*0.85,2.5)</f>
        <v>0</v>
      </c>
      <c r="AF82" s="25" t="s">
        <v>72</v>
      </c>
      <c r="AG82" s="25">
        <f>CEILING((100*AA82)/(101.3-2.67123*AB82)*0.65,2.5)</f>
        <v>0</v>
      </c>
      <c r="AH82" s="25" t="s">
        <v>64</v>
      </c>
      <c r="AI82" s="25">
        <f>CEILING((100*AA82)/(101.3-2.67123*(AB82+1))*0.85,2.5)</f>
        <v>0</v>
      </c>
      <c r="AJ82" s="25"/>
      <c r="AK82" s="6"/>
      <c r="AL82" s="6"/>
      <c r="AM82" s="6"/>
      <c r="AN82" s="6"/>
      <c r="AO82" s="6"/>
    </row>
    <row r="83" ht="15.75" customHeight="1">
      <c r="A83" s="23" t="s">
        <v>101</v>
      </c>
      <c r="B83" s="42"/>
      <c r="C83" s="42"/>
      <c r="D83" s="40"/>
      <c r="E83" s="19" t="s">
        <v>60</v>
      </c>
      <c r="F83" s="25" t="s">
        <v>61</v>
      </c>
      <c r="G83" s="21" t="s">
        <v>62</v>
      </c>
      <c r="H83" s="25" t="s">
        <v>63</v>
      </c>
      <c r="I83" s="19" t="s">
        <v>62</v>
      </c>
      <c r="J83" s="25" t="s">
        <v>61</v>
      </c>
      <c r="K83" s="26"/>
      <c r="L83" s="27"/>
      <c r="M83" s="28">
        <f>CEILING((100*K83)/(101.3-2.67123*L83)*0.65,2.5)</f>
        <v>0</v>
      </c>
      <c r="N83" s="25" t="s">
        <v>64</v>
      </c>
      <c r="O83" s="25">
        <f>CEILING((100*K83)/(101.3-2.67123*L83)*0.75,2.5)</f>
        <v>0</v>
      </c>
      <c r="P83" s="25" t="s">
        <v>64</v>
      </c>
      <c r="Q83" s="25">
        <f t="shared" ref="Q83:Q84" si="3">CEILING((100*K83)/(101.3-2.67123*L83)*0.6,2.5)</f>
        <v>0</v>
      </c>
      <c r="R83" s="25" t="s">
        <v>66</v>
      </c>
      <c r="S83" s="25">
        <f t="shared" si="2"/>
        <v>0</v>
      </c>
      <c r="T83" s="25"/>
      <c r="U83" s="25">
        <f>CEILING((100*S83)/(101.3-2.67123*(T83+1))*0.7,2.5)</f>
        <v>0</v>
      </c>
      <c r="V83" s="25" t="s">
        <v>64</v>
      </c>
      <c r="W83" s="25">
        <f>CEILING((100*K83)/(101.3-2.67123*(L83+1))*0.775,2.5)</f>
        <v>0</v>
      </c>
      <c r="X83" s="25" t="s">
        <v>65</v>
      </c>
      <c r="Y83" s="25">
        <f>CEILING((100*K83)/(101.3-2.67123*(L83+1))*0.65,2.5)</f>
        <v>0</v>
      </c>
      <c r="Z83" s="25" t="s">
        <v>66</v>
      </c>
      <c r="AA83" s="25">
        <f t="shared" ref="AA83:AA84" si="4">CEILING((100*S83)/(101.3-2.67123*T83)*0.8,2.5)</f>
        <v>0</v>
      </c>
      <c r="AB83" s="25"/>
      <c r="AC83" s="25">
        <f>CEILING((100*AA83)/(101.3-2.67123*(AB83+1))*0.75,2.5)</f>
        <v>0</v>
      </c>
      <c r="AD83" s="25" t="s">
        <v>67</v>
      </c>
      <c r="AE83" s="25">
        <f>CEILING((100*AA83)/(101.3-2.67123*(AB83+1))*0.8,2.5)</f>
        <v>0</v>
      </c>
      <c r="AF83" s="25" t="s">
        <v>68</v>
      </c>
      <c r="AG83" s="25">
        <f>CEILING((100*AA83)/(101.3-2.67123*(AB83+1))*0.6,2.5)</f>
        <v>0</v>
      </c>
      <c r="AH83" s="25" t="s">
        <v>66</v>
      </c>
      <c r="AI83" s="25">
        <f t="shared" ref="AI83:AI84" si="5">CEILING((100*AA83)/(101.3-2.67123*AB83)*0.85,2.5)</f>
        <v>0</v>
      </c>
      <c r="AJ83" s="25"/>
      <c r="AK83" s="6"/>
      <c r="AL83" s="6"/>
      <c r="AM83" s="6"/>
      <c r="AN83" s="6"/>
      <c r="AO83" s="6"/>
    </row>
    <row r="84" ht="15.75" customHeight="1">
      <c r="A84" s="32" t="s">
        <v>102</v>
      </c>
      <c r="B84" s="24"/>
      <c r="C84" s="24" t="s">
        <v>103</v>
      </c>
      <c r="D84" s="25"/>
      <c r="E84" s="19" t="s">
        <v>60</v>
      </c>
      <c r="F84" s="25" t="s">
        <v>61</v>
      </c>
      <c r="G84" s="21" t="s">
        <v>62</v>
      </c>
      <c r="H84" s="25" t="s">
        <v>63</v>
      </c>
      <c r="I84" s="19" t="s">
        <v>62</v>
      </c>
      <c r="J84" s="25" t="s">
        <v>61</v>
      </c>
      <c r="K84" s="37"/>
      <c r="L84" s="29"/>
      <c r="M84" s="38">
        <f>CEILING((100*K84)/(101.3-2.67123*L84)*0.5,2.5)</f>
        <v>0</v>
      </c>
      <c r="N84" s="36" t="s">
        <v>66</v>
      </c>
      <c r="O84" s="36">
        <f>CEILING((100*K84)/(101.3-2.67123*L84)*0.7,2.5)</f>
        <v>0</v>
      </c>
      <c r="P84" s="36" t="s">
        <v>74</v>
      </c>
      <c r="Q84" s="36">
        <f t="shared" si="3"/>
        <v>0</v>
      </c>
      <c r="R84" s="36" t="s">
        <v>63</v>
      </c>
      <c r="S84" s="25">
        <f t="shared" si="2"/>
        <v>0</v>
      </c>
      <c r="T84" s="25"/>
      <c r="U84" s="25">
        <f>CEILING((100*S84)/(101.3-2.67123*T84)*0.55,2.5)</f>
        <v>0</v>
      </c>
      <c r="V84" s="25" t="s">
        <v>66</v>
      </c>
      <c r="W84" s="25">
        <f>CEILING((100*S84)/(101.3-2.67123*T84)*0.75,2.5)</f>
        <v>0</v>
      </c>
      <c r="X84" s="25" t="s">
        <v>74</v>
      </c>
      <c r="Y84" s="25">
        <f>CEILING((100*S84)/(101.3-2.67123*T84)*0.65,2.5)</f>
        <v>0</v>
      </c>
      <c r="Z84" s="25" t="s">
        <v>64</v>
      </c>
      <c r="AA84" s="25">
        <f t="shared" si="4"/>
        <v>0</v>
      </c>
      <c r="AB84" s="25"/>
      <c r="AC84" s="25">
        <f>CEILING((100*AA84)/(101.3-2.67123*AB84)*0.6,2.5)</f>
        <v>0</v>
      </c>
      <c r="AD84" s="25" t="s">
        <v>63</v>
      </c>
      <c r="AE84" s="25">
        <f>CEILING((100*AA84)/(101.3-2.67123*AB84)*0.8,2.5)</f>
        <v>0</v>
      </c>
      <c r="AF84" s="25" t="s">
        <v>71</v>
      </c>
      <c r="AG84" s="25">
        <f>CEILING((100*AA84)/(101.3-2.67123*AB84)*0.7,2.5)</f>
        <v>0</v>
      </c>
      <c r="AH84" s="25" t="s">
        <v>74</v>
      </c>
      <c r="AI84" s="25">
        <f t="shared" si="5"/>
        <v>0</v>
      </c>
      <c r="AJ84" s="25"/>
      <c r="AK84" s="6"/>
      <c r="AL84" s="6"/>
      <c r="AM84" s="6"/>
      <c r="AN84" s="6"/>
      <c r="AO84" s="6"/>
    </row>
    <row r="85" ht="15.75" customHeight="1">
      <c r="A85" s="23" t="s">
        <v>104</v>
      </c>
      <c r="B85" s="24"/>
      <c r="C85" s="24" t="s">
        <v>105</v>
      </c>
      <c r="D85" s="25"/>
      <c r="E85" s="19" t="s">
        <v>76</v>
      </c>
      <c r="F85" s="25" t="s">
        <v>61</v>
      </c>
      <c r="G85" s="19" t="s">
        <v>60</v>
      </c>
      <c r="H85" s="25" t="s">
        <v>63</v>
      </c>
      <c r="I85" s="19" t="s">
        <v>60</v>
      </c>
      <c r="J85" s="25" t="s">
        <v>61</v>
      </c>
      <c r="K85" s="29"/>
      <c r="L85" s="29"/>
      <c r="M85" s="28">
        <f>CEILING((100*K85)/(101.3-2.67123*L85)*0.6,2)</f>
        <v>0</v>
      </c>
      <c r="N85" s="25" t="s">
        <v>63</v>
      </c>
      <c r="O85" s="25">
        <f>CEILING((100*K85)/(101.3-2.67123*L85)*0.7,2)</f>
        <v>0</v>
      </c>
      <c r="P85" s="25" t="s">
        <v>64</v>
      </c>
      <c r="Q85" s="25">
        <f>CEILING((100*K85)/(101.3-2.67123*L85)*0.5,2)</f>
        <v>0</v>
      </c>
      <c r="R85" s="25" t="s">
        <v>63</v>
      </c>
      <c r="S85" s="25">
        <f>CEILING((100*K85)/(101.3-2.67123*L85)*0.8,2)</f>
        <v>0</v>
      </c>
      <c r="T85" s="25"/>
      <c r="U85" s="25">
        <f>CEILING((100*S85)/(101.3-2.67123*T85)*0.6,2)</f>
        <v>0</v>
      </c>
      <c r="V85" s="25" t="s">
        <v>63</v>
      </c>
      <c r="W85" s="25">
        <f>CEILING((100*S85)/(101.3-2.67123*T85)*0.725,2)</f>
        <v>0</v>
      </c>
      <c r="X85" s="25" t="s">
        <v>65</v>
      </c>
      <c r="Y85" s="25">
        <f>CEILING((100*S85)/(101.3-2.67123*T85)*0.5,2)</f>
        <v>0</v>
      </c>
      <c r="Z85" s="25" t="s">
        <v>63</v>
      </c>
      <c r="AA85" s="25">
        <f>CEILING((100*S85)/(101.3-2.67123*T85)*0.8,2)</f>
        <v>0</v>
      </c>
      <c r="AB85" s="25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ht="15.75" customHeight="1">
      <c r="A86" s="32" t="s">
        <v>106</v>
      </c>
      <c r="B86" s="25"/>
      <c r="C86" s="25"/>
      <c r="D86" s="25"/>
      <c r="E86" s="20" t="s">
        <v>76</v>
      </c>
      <c r="F86" s="25" t="s">
        <v>61</v>
      </c>
      <c r="G86" s="20" t="s">
        <v>60</v>
      </c>
      <c r="H86" s="35" t="s">
        <v>63</v>
      </c>
      <c r="I86" s="19" t="s">
        <v>60</v>
      </c>
      <c r="J86" s="35" t="s">
        <v>61</v>
      </c>
      <c r="K86" s="19" t="s">
        <v>60</v>
      </c>
      <c r="L86" s="25" t="s">
        <v>78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ht="15.75" customHeight="1">
      <c r="A87" s="23" t="s">
        <v>107</v>
      </c>
      <c r="B87" s="31"/>
      <c r="C87" s="31"/>
      <c r="D87" s="36"/>
      <c r="E87" s="19" t="s">
        <v>76</v>
      </c>
      <c r="F87" s="25" t="s">
        <v>61</v>
      </c>
      <c r="G87" s="19" t="s">
        <v>60</v>
      </c>
      <c r="H87" s="25" t="s">
        <v>63</v>
      </c>
      <c r="I87" s="20" t="s">
        <v>60</v>
      </c>
      <c r="J87" s="35" t="s">
        <v>61</v>
      </c>
      <c r="K87" s="19" t="s">
        <v>60</v>
      </c>
      <c r="L87" s="25" t="s">
        <v>78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15.75" customHeight="1">
      <c r="A88" s="23" t="s">
        <v>108</v>
      </c>
      <c r="B88" s="24"/>
      <c r="C88" s="24"/>
      <c r="D88" s="25"/>
      <c r="E88" s="19" t="s">
        <v>82</v>
      </c>
      <c r="F88" s="25" t="s">
        <v>109</v>
      </c>
      <c r="G88" s="19" t="s">
        <v>82</v>
      </c>
      <c r="H88" s="25" t="s">
        <v>110</v>
      </c>
      <c r="I88" s="19" t="s">
        <v>82</v>
      </c>
      <c r="J88" s="25" t="s">
        <v>111</v>
      </c>
      <c r="K88" s="19" t="s">
        <v>82</v>
      </c>
      <c r="L88" s="25" t="s">
        <v>112</v>
      </c>
      <c r="M88" s="4"/>
      <c r="N88" s="6"/>
      <c r="O88" s="4"/>
      <c r="P88" s="6"/>
      <c r="Q88" s="4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ht="15.75" customHeight="1">
      <c r="M89" s="6"/>
      <c r="N89" s="6"/>
      <c r="O89" s="6"/>
      <c r="P89" s="6"/>
      <c r="Q89" s="6"/>
      <c r="R89" s="6"/>
      <c r="S89" s="6"/>
    </row>
    <row r="90" ht="15.75" customHeight="1">
      <c r="M90" s="6"/>
      <c r="N90" s="6"/>
      <c r="O90" s="6"/>
      <c r="P90" s="6"/>
      <c r="Q90" s="6"/>
      <c r="R90" s="6"/>
      <c r="S90" s="6"/>
      <c r="AK90" s="6"/>
      <c r="AL90" s="6"/>
      <c r="AM90" s="6"/>
      <c r="AN90" s="6"/>
      <c r="AO90" s="6"/>
    </row>
    <row r="91" ht="15.75" customHeight="1"/>
    <row r="92" ht="15.75" customHeight="1">
      <c r="A92" s="1" t="s">
        <v>113</v>
      </c>
      <c r="N92" s="6"/>
      <c r="O92" s="6"/>
    </row>
    <row r="93" ht="15.75" customHeight="1">
      <c r="A93" s="2" t="s">
        <v>114</v>
      </c>
      <c r="N93" s="6"/>
      <c r="O93" s="6"/>
      <c r="Q93" s="6"/>
    </row>
    <row r="94" ht="15.75" customHeight="1">
      <c r="A94" s="1" t="s">
        <v>115</v>
      </c>
      <c r="K94" s="6"/>
      <c r="L94" s="6"/>
      <c r="M94" s="6"/>
      <c r="N94" s="6"/>
      <c r="O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15.75" customHeight="1">
      <c r="A95" s="2" t="s">
        <v>116</v>
      </c>
      <c r="K95" s="6"/>
      <c r="L95" s="6"/>
      <c r="M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ht="15.75" customHeight="1">
      <c r="A96" s="1" t="s">
        <v>117</v>
      </c>
      <c r="K96" s="6"/>
      <c r="L96" s="6"/>
      <c r="M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15.75" customHeight="1">
      <c r="A97" s="2" t="s">
        <v>118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ht="15.75" customHeight="1">
      <c r="A98" s="2" t="s">
        <v>119</v>
      </c>
      <c r="K98" s="4"/>
      <c r="L98" s="6"/>
      <c r="M98" s="4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15.75" customHeight="1">
      <c r="A99" s="1" t="s">
        <v>120</v>
      </c>
      <c r="C99" s="4"/>
      <c r="D99" s="4"/>
      <c r="E99" s="4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ht="15.75" customHeight="1">
      <c r="A100" s="2"/>
      <c r="B100" s="4"/>
      <c r="F100" s="4"/>
      <c r="G100" s="4"/>
      <c r="H100" s="4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ht="15.75" customHeight="1">
      <c r="A101" s="2"/>
      <c r="B101" s="6"/>
      <c r="C101" s="6"/>
      <c r="D101" s="6"/>
      <c r="E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ht="15.75" customHeight="1">
      <c r="A102" s="7" t="s">
        <v>121</v>
      </c>
      <c r="N102" s="6"/>
      <c r="O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ht="15.75" customHeight="1">
      <c r="A103" s="7" t="s">
        <v>122</v>
      </c>
      <c r="D103" s="6"/>
      <c r="E103" s="29"/>
      <c r="N103" s="6"/>
      <c r="O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ht="15.75" customHeight="1">
      <c r="A104" s="7" t="s">
        <v>123</v>
      </c>
      <c r="C104" s="29">
        <f>220-E103</f>
        <v>220</v>
      </c>
      <c r="K104" s="6"/>
      <c r="L104" s="6"/>
      <c r="N104" s="6"/>
      <c r="O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ht="15.75" customHeight="1">
      <c r="K105" s="6"/>
      <c r="L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ht="15.75" customHeight="1">
      <c r="A106" s="43" t="s">
        <v>124</v>
      </c>
      <c r="B106" s="44"/>
      <c r="C106" s="45" t="s">
        <v>125</v>
      </c>
      <c r="D106" s="34" t="s">
        <v>126</v>
      </c>
      <c r="E106" s="34" t="s">
        <v>127</v>
      </c>
      <c r="F106" s="34" t="s">
        <v>128</v>
      </c>
      <c r="G106" s="34" t="s">
        <v>129</v>
      </c>
      <c r="H106" s="34" t="s">
        <v>130</v>
      </c>
      <c r="I106" s="34" t="s">
        <v>131</v>
      </c>
      <c r="J106" s="34" t="s">
        <v>132</v>
      </c>
      <c r="K106" s="34" t="s">
        <v>133</v>
      </c>
      <c r="L106" s="45" t="s">
        <v>134</v>
      </c>
      <c r="M106" s="34" t="s">
        <v>135</v>
      </c>
      <c r="N106" s="34" t="s">
        <v>136</v>
      </c>
    </row>
    <row r="107" ht="15.75" customHeight="1">
      <c r="A107" s="46" t="s">
        <v>137</v>
      </c>
      <c r="B107" s="31"/>
      <c r="C107" s="47" t="s">
        <v>138</v>
      </c>
      <c r="D107" s="24" t="s">
        <v>139</v>
      </c>
      <c r="E107" s="24" t="s">
        <v>138</v>
      </c>
      <c r="F107" s="24" t="s">
        <v>139</v>
      </c>
      <c r="G107" s="24" t="s">
        <v>139</v>
      </c>
      <c r="H107" s="24" t="s">
        <v>139</v>
      </c>
      <c r="I107" s="47" t="s">
        <v>138</v>
      </c>
      <c r="J107" s="24" t="s">
        <v>140</v>
      </c>
      <c r="K107" s="24" t="s">
        <v>139</v>
      </c>
      <c r="L107" s="24" t="s">
        <v>139</v>
      </c>
      <c r="M107" s="47" t="s">
        <v>138</v>
      </c>
      <c r="N107" s="24" t="s">
        <v>139</v>
      </c>
    </row>
    <row r="108" ht="15.75" customHeight="1">
      <c r="A108" s="34" t="s">
        <v>141</v>
      </c>
      <c r="B108" s="24"/>
      <c r="C108" s="24">
        <v>2.0</v>
      </c>
      <c r="D108" s="24">
        <v>2.0</v>
      </c>
      <c r="E108" s="24">
        <v>2.0</v>
      </c>
      <c r="F108" s="24">
        <v>3.0</v>
      </c>
      <c r="G108" s="24">
        <v>3.0</v>
      </c>
      <c r="H108" s="24">
        <v>2.0</v>
      </c>
      <c r="I108" s="24">
        <v>3.0</v>
      </c>
      <c r="J108" s="24">
        <v>3.0</v>
      </c>
      <c r="K108" s="24">
        <v>2.0</v>
      </c>
      <c r="L108" s="24">
        <v>2.0</v>
      </c>
      <c r="M108" s="24">
        <v>2.0</v>
      </c>
      <c r="N108" s="24">
        <v>2.0</v>
      </c>
      <c r="P108" s="6"/>
    </row>
    <row r="109" ht="15.75" customHeight="1">
      <c r="A109" s="34" t="s">
        <v>142</v>
      </c>
      <c r="B109" s="24"/>
      <c r="C109" s="47">
        <v>35.0</v>
      </c>
      <c r="D109" s="24">
        <v>30.0</v>
      </c>
      <c r="E109" s="24">
        <v>40.0</v>
      </c>
      <c r="F109" s="47">
        <v>30.0</v>
      </c>
      <c r="G109" s="24">
        <v>40.0</v>
      </c>
      <c r="H109" s="24">
        <v>35.0</v>
      </c>
      <c r="I109" s="24">
        <v>45.0</v>
      </c>
      <c r="J109" s="24">
        <v>25.0</v>
      </c>
      <c r="K109" s="47">
        <v>35.0</v>
      </c>
      <c r="L109" s="24">
        <v>35.0</v>
      </c>
      <c r="M109" s="24">
        <v>30.0</v>
      </c>
      <c r="N109" s="24">
        <v>30.0</v>
      </c>
      <c r="P109" s="6"/>
    </row>
    <row r="110" ht="15.75" customHeight="1">
      <c r="L110" s="6"/>
      <c r="P110" s="6"/>
    </row>
    <row r="111" ht="15.75" customHeight="1">
      <c r="A111" s="7" t="s">
        <v>143</v>
      </c>
    </row>
    <row r="112" ht="15.75" customHeight="1">
      <c r="P112" s="6"/>
    </row>
    <row r="113" ht="15.75" customHeight="1">
      <c r="M113" s="6"/>
      <c r="N113" s="6"/>
      <c r="O113" s="6"/>
      <c r="P113" s="6"/>
    </row>
    <row r="114" ht="15.75" customHeight="1">
      <c r="M114" s="6"/>
      <c r="N114" s="6"/>
      <c r="O114" s="6"/>
    </row>
    <row r="115" ht="15.75" customHeight="1">
      <c r="M115" s="6"/>
      <c r="N115" s="6"/>
      <c r="O115" s="6"/>
    </row>
    <row r="116" ht="15.75" customHeight="1">
      <c r="M116" s="6"/>
      <c r="N116" s="6"/>
      <c r="O116" s="6"/>
    </row>
    <row r="117" ht="15.75" customHeight="1">
      <c r="M117" s="6"/>
      <c r="N117" s="4"/>
      <c r="O117" s="6"/>
    </row>
    <row r="118" ht="15.75" customHeight="1">
      <c r="M118" s="6"/>
      <c r="N118" s="6"/>
    </row>
    <row r="119" ht="15.75" customHeight="1"/>
    <row r="120" ht="15.75" customHeight="1"/>
    <row r="121" ht="15.75" customHeight="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5.75" customHeight="1"/>
    <row r="143" ht="15.75" customHeight="1">
      <c r="C143" s="2"/>
      <c r="D143" s="2"/>
      <c r="E143" s="2"/>
      <c r="F143" s="2"/>
      <c r="O143" s="6"/>
    </row>
    <row r="144" ht="15.75" customHeight="1">
      <c r="C144" s="23"/>
      <c r="D144" s="2"/>
      <c r="E144" s="2"/>
      <c r="F144" s="23"/>
    </row>
    <row r="145" ht="15.75" customHeight="1">
      <c r="C145" s="23"/>
      <c r="D145" s="2"/>
      <c r="E145" s="2"/>
      <c r="F145" s="23"/>
      <c r="O145" s="6"/>
    </row>
    <row r="146" ht="15.75" customHeight="1">
      <c r="C146" s="23"/>
      <c r="D146" s="2"/>
      <c r="E146" s="2"/>
      <c r="F146" s="23"/>
    </row>
    <row r="147" ht="15.75" customHeight="1">
      <c r="C147" s="23"/>
      <c r="D147" s="2"/>
      <c r="E147" s="2"/>
      <c r="F147" s="23"/>
    </row>
    <row r="148" ht="15.75" customHeight="1">
      <c r="C148" s="23"/>
      <c r="D148" s="2"/>
      <c r="E148" s="2"/>
      <c r="F148" s="23"/>
    </row>
    <row r="149" ht="15.75" customHeight="1">
      <c r="C149" s="23"/>
      <c r="D149" s="2"/>
      <c r="E149" s="2"/>
      <c r="F149" s="23"/>
    </row>
    <row r="150" ht="15.75" customHeight="1">
      <c r="C150" s="23"/>
      <c r="D150" s="2"/>
      <c r="E150" s="2"/>
      <c r="F150" s="23"/>
    </row>
    <row r="151" ht="15.75" customHeight="1">
      <c r="C151" s="23"/>
      <c r="D151" s="2"/>
      <c r="E151" s="2"/>
      <c r="F151" s="23"/>
    </row>
    <row r="152" ht="15.75" customHeight="1">
      <c r="C152" s="23"/>
      <c r="D152" s="2"/>
      <c r="E152" s="2"/>
      <c r="F152" s="23"/>
    </row>
    <row r="153" ht="15.75" customHeight="1">
      <c r="C153" s="23"/>
      <c r="D153" s="2"/>
      <c r="E153" s="2"/>
      <c r="F153" s="23"/>
    </row>
    <row r="154" ht="15.75" customHeight="1">
      <c r="C154" s="23"/>
      <c r="D154" s="2"/>
      <c r="E154" s="2"/>
      <c r="F154" s="23"/>
    </row>
    <row r="155" ht="15.75" customHeight="1">
      <c r="C155" s="23"/>
      <c r="D155" s="2"/>
      <c r="E155" s="2"/>
      <c r="F155" s="23"/>
    </row>
    <row r="156" ht="15.75" customHeight="1">
      <c r="C156" s="23"/>
      <c r="D156" s="2"/>
      <c r="E156" s="2"/>
      <c r="F156" s="2"/>
    </row>
    <row r="157" ht="15.75" customHeight="1">
      <c r="C157" s="23"/>
      <c r="D157" s="2"/>
      <c r="E157" s="2"/>
      <c r="F157" s="2"/>
    </row>
    <row r="158" ht="15.75" customHeight="1">
      <c r="C158" s="23"/>
      <c r="D158" s="2"/>
      <c r="E158" s="2"/>
      <c r="F158" s="2"/>
    </row>
    <row r="159" ht="15.75" customHeight="1">
      <c r="C159" s="23"/>
      <c r="D159" s="2"/>
      <c r="E159" s="2"/>
      <c r="F159" s="2"/>
    </row>
    <row r="160" ht="15.75" customHeight="1">
      <c r="C160" s="23"/>
      <c r="D160" s="2"/>
      <c r="E160" s="2"/>
      <c r="F160" s="2"/>
    </row>
    <row r="161" ht="15.75" customHeight="1">
      <c r="C161" s="2"/>
      <c r="D161" s="2"/>
      <c r="E161" s="2"/>
      <c r="F161" s="2"/>
    </row>
    <row r="162" ht="15.75" customHeight="1">
      <c r="C162" s="2"/>
      <c r="D162" s="2"/>
      <c r="E162" s="2"/>
      <c r="F162" s="2"/>
    </row>
    <row r="163" ht="15.75" customHeight="1"/>
    <row r="164" ht="15.75" customHeight="1"/>
    <row r="165" ht="15.75" customHeight="1">
      <c r="S165" s="6"/>
    </row>
    <row r="166" ht="15.75" customHeight="1">
      <c r="S166" s="6"/>
    </row>
    <row r="167" ht="15.75" customHeight="1">
      <c r="S167" s="6"/>
    </row>
    <row r="168" ht="15.75" customHeight="1">
      <c r="S168" s="6"/>
    </row>
    <row r="169" ht="15.75" customHeight="1">
      <c r="S169" s="6"/>
    </row>
    <row r="170" ht="15.75" customHeight="1">
      <c r="S170" s="6"/>
    </row>
    <row r="171" ht="15.75" customHeight="1">
      <c r="S171" s="6"/>
    </row>
    <row r="172" ht="15.75" customHeight="1">
      <c r="S172" s="6"/>
    </row>
    <row r="173" ht="15.75" customHeight="1">
      <c r="S173" s="6"/>
    </row>
    <row r="174" ht="15.75" customHeight="1">
      <c r="S174" s="6"/>
    </row>
    <row r="175" ht="15.75" customHeight="1">
      <c r="S175" s="6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>
      <c r="S188" s="6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A57:AB57"/>
    <mergeCell ref="AC57:AH57"/>
    <mergeCell ref="Q56:AF56"/>
    <mergeCell ref="AI56:AJ56"/>
    <mergeCell ref="K57:L57"/>
    <mergeCell ref="M57:R57"/>
    <mergeCell ref="S57:T57"/>
    <mergeCell ref="U57:Z57"/>
    <mergeCell ref="AI57:AJ57"/>
    <mergeCell ref="E57:J57"/>
    <mergeCell ref="E58:F58"/>
    <mergeCell ref="G58:H58"/>
    <mergeCell ref="I58:J58"/>
    <mergeCell ref="K58:L58"/>
    <mergeCell ref="M58:N58"/>
    <mergeCell ref="O58:P58"/>
    <mergeCell ref="AE58:AF58"/>
    <mergeCell ref="AG58:AH58"/>
    <mergeCell ref="AI58:AJ58"/>
    <mergeCell ref="Q58:R58"/>
    <mergeCell ref="S58:T58"/>
    <mergeCell ref="U58:V58"/>
    <mergeCell ref="W58:X58"/>
    <mergeCell ref="Y58:Z58"/>
    <mergeCell ref="AA58:AB58"/>
    <mergeCell ref="AC58:AD58"/>
  </mergeCells>
  <hyperlinks>
    <hyperlink r:id="rId1" ref="A60"/>
    <hyperlink r:id="rId2" ref="A61"/>
    <hyperlink r:id="rId3" ref="A62"/>
    <hyperlink r:id="rId4" ref="A63"/>
    <hyperlink r:id="rId5" ref="A64"/>
    <hyperlink r:id="rId6" ref="A65"/>
    <hyperlink r:id="rId7" ref="A66"/>
    <hyperlink r:id="rId8" ref="A71"/>
    <hyperlink r:id="rId9" ref="A72"/>
    <hyperlink r:id="rId10" ref="A73"/>
    <hyperlink r:id="rId11" ref="A74"/>
    <hyperlink r:id="rId12" ref="A75"/>
    <hyperlink r:id="rId13" ref="A76"/>
    <hyperlink r:id="rId14" ref="A77"/>
    <hyperlink r:id="rId15" ref="A82"/>
    <hyperlink r:id="rId16" ref="A83"/>
    <hyperlink r:id="rId17" ref="A84"/>
    <hyperlink r:id="rId18" ref="A85"/>
    <hyperlink r:id="rId19" ref="A86"/>
    <hyperlink r:id="rId20" ref="A87"/>
    <hyperlink r:id="rId21" ref="A88"/>
  </hyperlinks>
  <printOptions/>
  <pageMargins bottom="0.75" footer="0.0" header="0.0" left="0.7" right="0.7" top="0.75"/>
  <pageSetup paperSize="9" orientation="portrait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5.57"/>
    <col customWidth="1" min="3" max="3" width="24.14"/>
    <col customWidth="1" min="4" max="4" width="15.14"/>
    <col customWidth="1" min="5" max="5" width="17.71"/>
    <col customWidth="1" min="6" max="6" width="12.29"/>
    <col customWidth="1" min="7" max="7" width="13.71"/>
    <col customWidth="1" min="8" max="8" width="12.43"/>
    <col customWidth="1" min="9" max="9" width="11.57"/>
    <col customWidth="1" min="10" max="10" width="13.43"/>
    <col customWidth="1" min="11" max="11" width="17.57"/>
    <col customWidth="1" min="12" max="12" width="24.57"/>
    <col customWidth="1" min="13" max="13" width="18.43"/>
    <col customWidth="1" min="14" max="14" width="12.43"/>
    <col customWidth="1" min="15" max="15" width="19.57"/>
    <col customWidth="1" min="16" max="16" width="14.14"/>
    <col customWidth="1" min="17" max="17" width="22.0"/>
    <col customWidth="1" min="18" max="18" width="16.14"/>
    <col customWidth="1" min="19" max="19" width="16.43"/>
    <col customWidth="1" min="20" max="20" width="23.0"/>
    <col customWidth="1" min="21" max="21" width="19.0"/>
    <col customWidth="1" min="22" max="22" width="19.29"/>
    <col customWidth="1" min="23" max="23" width="19.43"/>
    <col customWidth="1" min="24" max="24" width="16.14"/>
    <col customWidth="1" min="25" max="25" width="18.43"/>
    <col customWidth="1" min="26" max="26" width="24.86"/>
    <col customWidth="1" min="27" max="27" width="18.14"/>
    <col customWidth="1" min="28" max="28" width="19.29"/>
    <col customWidth="1" min="29" max="29" width="18.29"/>
    <col customWidth="1" min="30" max="30" width="20.43"/>
    <col customWidth="1" min="31" max="31" width="17.57"/>
    <col customWidth="1" min="32" max="32" width="19.14"/>
    <col customWidth="1" min="33" max="33" width="18.29"/>
    <col customWidth="1" min="34" max="34" width="22.57"/>
    <col customWidth="1" min="35" max="35" width="16.71"/>
    <col customWidth="1" min="36" max="36" width="25.0"/>
    <col customWidth="1" min="37" max="37" width="13.29"/>
    <col customWidth="1" min="38" max="38" width="15.57"/>
    <col customWidth="1" min="39" max="39" width="13.43"/>
    <col customWidth="1" min="40" max="47" width="8.71"/>
  </cols>
  <sheetData>
    <row r="2">
      <c r="A2" s="1" t="s">
        <v>144</v>
      </c>
    </row>
    <row r="3">
      <c r="A3" s="2"/>
    </row>
    <row r="4">
      <c r="A4" s="2" t="s">
        <v>145</v>
      </c>
    </row>
    <row r="5">
      <c r="A5" s="2" t="s">
        <v>2</v>
      </c>
    </row>
    <row r="6">
      <c r="A6" s="2" t="s">
        <v>3</v>
      </c>
    </row>
    <row r="7">
      <c r="A7" s="1" t="s">
        <v>4</v>
      </c>
    </row>
    <row r="8">
      <c r="A8" s="2" t="s">
        <v>5</v>
      </c>
    </row>
    <row r="9">
      <c r="A9" s="2" t="s">
        <v>6</v>
      </c>
    </row>
    <row r="10">
      <c r="A10" s="3" t="s">
        <v>7</v>
      </c>
    </row>
    <row r="11">
      <c r="A11" s="3" t="s">
        <v>8</v>
      </c>
    </row>
    <row r="12">
      <c r="A12" s="2"/>
    </row>
    <row r="13">
      <c r="A13" s="2"/>
    </row>
    <row r="14">
      <c r="A14" s="1" t="s">
        <v>9</v>
      </c>
    </row>
    <row r="15">
      <c r="A15" s="2" t="s">
        <v>10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>
      <c r="A16" s="2" t="s">
        <v>146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2" t="s">
        <v>147</v>
      </c>
    </row>
    <row r="18">
      <c r="A18" s="2" t="s">
        <v>13</v>
      </c>
    </row>
    <row r="19">
      <c r="A19" s="2" t="s">
        <v>14</v>
      </c>
      <c r="AJ19" s="4"/>
    </row>
    <row r="20">
      <c r="A20" s="2"/>
      <c r="AH20" s="4"/>
      <c r="AI20" s="4"/>
    </row>
    <row r="21" ht="15.75" customHeight="1">
      <c r="A21" s="2"/>
      <c r="AC21" s="4"/>
      <c r="AD21" s="4"/>
      <c r="AE21" s="4"/>
      <c r="AF21" s="4"/>
      <c r="AG21" s="4"/>
    </row>
    <row r="22" ht="15.75" customHeight="1">
      <c r="A22" s="1" t="s">
        <v>15</v>
      </c>
    </row>
    <row r="23" ht="15.75" customHeight="1">
      <c r="A23" s="5" t="s">
        <v>16</v>
      </c>
      <c r="B23" s="6"/>
      <c r="C23" s="6"/>
      <c r="D23" s="6"/>
      <c r="R23" s="4"/>
      <c r="S23" s="4"/>
      <c r="T23" s="4"/>
      <c r="U23" s="4"/>
      <c r="V23" s="4"/>
      <c r="AA23" s="4"/>
      <c r="AB23" s="4"/>
    </row>
    <row r="24" ht="15.75" customHeight="1">
      <c r="A24" s="2" t="s">
        <v>148</v>
      </c>
    </row>
    <row r="25" ht="15.75" customHeight="1">
      <c r="A25" s="1" t="s">
        <v>18</v>
      </c>
      <c r="E25" s="6"/>
      <c r="F25" s="6"/>
      <c r="G25" s="6"/>
      <c r="H25" s="6"/>
      <c r="I25" s="6"/>
    </row>
    <row r="26" ht="15.75" customHeight="1">
      <c r="A26" s="2" t="s">
        <v>19</v>
      </c>
    </row>
    <row r="27" ht="15.75" customHeight="1">
      <c r="A27" s="2" t="s">
        <v>20</v>
      </c>
    </row>
    <row r="28" ht="15.75" customHeight="1">
      <c r="A28" s="2" t="s">
        <v>149</v>
      </c>
      <c r="N28" s="4"/>
      <c r="O28" s="4"/>
      <c r="P28" s="4"/>
      <c r="Q28" s="4"/>
      <c r="R28" s="4"/>
      <c r="S28" s="4"/>
      <c r="T28" s="4"/>
      <c r="U28" s="4"/>
    </row>
    <row r="29" ht="15.75" customHeight="1">
      <c r="A29" s="2" t="s">
        <v>22</v>
      </c>
    </row>
    <row r="30" ht="15.75" customHeight="1">
      <c r="A30" s="7" t="s">
        <v>23</v>
      </c>
    </row>
    <row r="31" ht="15.75" customHeight="1">
      <c r="A31" s="2" t="s">
        <v>150</v>
      </c>
    </row>
    <row r="32" ht="15.75" customHeight="1">
      <c r="A32" s="8" t="s">
        <v>151</v>
      </c>
    </row>
    <row r="33" ht="15.75" customHeight="1">
      <c r="A33" s="8" t="s">
        <v>26</v>
      </c>
    </row>
    <row r="34" ht="15.75" customHeight="1"/>
    <row r="35" ht="15.75" customHeight="1"/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  <c r="AH41" s="6"/>
      <c r="AI41" s="6"/>
      <c r="AJ41" s="6"/>
      <c r="AK41" s="6"/>
      <c r="AL41" s="6"/>
      <c r="AM41" s="6"/>
    </row>
    <row r="42" ht="15.75" customHeight="1">
      <c r="A42" s="48" t="s">
        <v>152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H42" s="6"/>
      <c r="AI42" s="6"/>
      <c r="AJ42" s="6"/>
      <c r="AK42" s="6"/>
      <c r="AL42" s="6"/>
      <c r="AM42" s="6"/>
    </row>
    <row r="43" ht="15.75" customHeight="1">
      <c r="A43" s="49" t="s">
        <v>153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H43" s="6"/>
      <c r="AI43" s="6"/>
      <c r="AJ43" s="6"/>
      <c r="AK43" s="6"/>
      <c r="AL43" s="6"/>
      <c r="AM43" s="6"/>
    </row>
    <row r="44" ht="15.75" customHeight="1">
      <c r="A44" s="2"/>
    </row>
    <row r="45" ht="15.75" customHeight="1">
      <c r="A45" s="2"/>
    </row>
    <row r="46" ht="15.75" customHeight="1">
      <c r="A46" s="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56" s="6"/>
      <c r="L56" s="6"/>
      <c r="N56" s="6"/>
      <c r="O56" s="4"/>
      <c r="P56" s="6"/>
      <c r="Q56" s="10"/>
      <c r="AH56" s="6"/>
      <c r="AI56" s="11" t="s">
        <v>31</v>
      </c>
      <c r="AJ56" s="12"/>
      <c r="AK56" s="6"/>
      <c r="AL56" s="6"/>
      <c r="AM56" s="6"/>
    </row>
    <row r="57" ht="15.75" customHeight="1">
      <c r="A57" s="7" t="s">
        <v>32</v>
      </c>
      <c r="B57" s="6"/>
      <c r="E57" s="13" t="s">
        <v>33</v>
      </c>
      <c r="F57" s="14"/>
      <c r="G57" s="14"/>
      <c r="H57" s="14"/>
      <c r="I57" s="14"/>
      <c r="J57" s="15"/>
      <c r="K57" s="16" t="s">
        <v>34</v>
      </c>
      <c r="L57" s="15"/>
      <c r="M57" s="17" t="s">
        <v>35</v>
      </c>
      <c r="N57" s="14"/>
      <c r="O57" s="14"/>
      <c r="P57" s="14"/>
      <c r="Q57" s="14"/>
      <c r="R57" s="14"/>
      <c r="S57" s="14"/>
      <c r="T57" s="15"/>
      <c r="U57" s="17" t="s">
        <v>36</v>
      </c>
      <c r="V57" s="14"/>
      <c r="W57" s="14"/>
      <c r="X57" s="14"/>
      <c r="Y57" s="14"/>
      <c r="Z57" s="14"/>
      <c r="AA57" s="14"/>
      <c r="AB57" s="15"/>
      <c r="AC57" s="17" t="s">
        <v>37</v>
      </c>
      <c r="AD57" s="14"/>
      <c r="AE57" s="14"/>
      <c r="AF57" s="14"/>
      <c r="AG57" s="14"/>
      <c r="AH57" s="15"/>
      <c r="AI57" s="17" t="s">
        <v>34</v>
      </c>
      <c r="AJ57" s="15"/>
      <c r="AK57" s="10"/>
      <c r="AL57" s="10"/>
      <c r="AM57" s="10"/>
      <c r="AN57" s="10"/>
      <c r="AO57" s="10"/>
    </row>
    <row r="58" ht="15.75" customHeight="1">
      <c r="A58" s="6"/>
      <c r="E58" s="13" t="s">
        <v>38</v>
      </c>
      <c r="F58" s="15"/>
      <c r="G58" s="13" t="s">
        <v>39</v>
      </c>
      <c r="H58" s="15"/>
      <c r="I58" s="13" t="s">
        <v>40</v>
      </c>
      <c r="J58" s="15"/>
      <c r="K58" s="16" t="s">
        <v>41</v>
      </c>
      <c r="L58" s="15"/>
      <c r="M58" s="17" t="s">
        <v>42</v>
      </c>
      <c r="N58" s="15"/>
      <c r="O58" s="17" t="s">
        <v>43</v>
      </c>
      <c r="P58" s="15"/>
      <c r="Q58" s="17" t="s">
        <v>44</v>
      </c>
      <c r="R58" s="15"/>
      <c r="S58" s="17" t="s">
        <v>45</v>
      </c>
      <c r="T58" s="15"/>
      <c r="U58" s="17" t="s">
        <v>46</v>
      </c>
      <c r="V58" s="15"/>
      <c r="W58" s="17" t="s">
        <v>47</v>
      </c>
      <c r="X58" s="15"/>
      <c r="Y58" s="17" t="s">
        <v>48</v>
      </c>
      <c r="Z58" s="15"/>
      <c r="AA58" s="17" t="s">
        <v>49</v>
      </c>
      <c r="AB58" s="15"/>
      <c r="AC58" s="17" t="s">
        <v>50</v>
      </c>
      <c r="AD58" s="15"/>
      <c r="AE58" s="17" t="s">
        <v>51</v>
      </c>
      <c r="AF58" s="15"/>
      <c r="AG58" s="17" t="s">
        <v>52</v>
      </c>
      <c r="AH58" s="15"/>
      <c r="AI58" s="17" t="s">
        <v>53</v>
      </c>
      <c r="AJ58" s="15"/>
      <c r="AK58" s="10"/>
      <c r="AL58" s="10"/>
      <c r="AM58" s="10"/>
      <c r="AN58" s="10"/>
      <c r="AO58" s="10"/>
    </row>
    <row r="59" ht="15.75" customHeight="1">
      <c r="A59" s="18" t="s">
        <v>54</v>
      </c>
      <c r="B59" s="2"/>
      <c r="C59" s="1" t="s">
        <v>55</v>
      </c>
      <c r="E59" s="19" t="s">
        <v>56</v>
      </c>
      <c r="F59" s="19" t="s">
        <v>57</v>
      </c>
      <c r="G59" s="19" t="s">
        <v>56</v>
      </c>
      <c r="H59" s="19" t="s">
        <v>57</v>
      </c>
      <c r="I59" s="19" t="s">
        <v>56</v>
      </c>
      <c r="J59" s="19" t="s">
        <v>57</v>
      </c>
      <c r="K59" s="19" t="s">
        <v>56</v>
      </c>
      <c r="L59" s="20" t="s">
        <v>58</v>
      </c>
      <c r="M59" s="19" t="s">
        <v>56</v>
      </c>
      <c r="N59" s="19" t="s">
        <v>57</v>
      </c>
      <c r="O59" s="19" t="s">
        <v>56</v>
      </c>
      <c r="P59" s="19" t="s">
        <v>57</v>
      </c>
      <c r="Q59" s="19" t="s">
        <v>56</v>
      </c>
      <c r="R59" s="19" t="s">
        <v>57</v>
      </c>
      <c r="S59" s="19" t="s">
        <v>56</v>
      </c>
      <c r="T59" s="19" t="s">
        <v>57</v>
      </c>
      <c r="U59" s="19" t="s">
        <v>56</v>
      </c>
      <c r="V59" s="19" t="s">
        <v>57</v>
      </c>
      <c r="W59" s="19" t="s">
        <v>56</v>
      </c>
      <c r="X59" s="19" t="s">
        <v>57</v>
      </c>
      <c r="Y59" s="21" t="s">
        <v>56</v>
      </c>
      <c r="Z59" s="21" t="s">
        <v>57</v>
      </c>
      <c r="AA59" s="21" t="s">
        <v>56</v>
      </c>
      <c r="AB59" s="21" t="s">
        <v>57</v>
      </c>
      <c r="AC59" s="21" t="s">
        <v>56</v>
      </c>
      <c r="AD59" s="21" t="s">
        <v>57</v>
      </c>
      <c r="AE59" s="21" t="s">
        <v>56</v>
      </c>
      <c r="AF59" s="21" t="s">
        <v>57</v>
      </c>
      <c r="AG59" s="21" t="s">
        <v>56</v>
      </c>
      <c r="AH59" s="22" t="s">
        <v>57</v>
      </c>
      <c r="AI59" s="19" t="s">
        <v>56</v>
      </c>
      <c r="AJ59" s="19" t="s">
        <v>58</v>
      </c>
      <c r="AK59" s="4"/>
      <c r="AL59" s="4"/>
      <c r="AM59" s="4"/>
      <c r="AN59" s="4"/>
      <c r="AO59" s="4"/>
    </row>
    <row r="60" ht="15.75" customHeight="1">
      <c r="A60" s="23" t="s">
        <v>59</v>
      </c>
      <c r="B60" s="24"/>
      <c r="C60" s="24"/>
      <c r="D60" s="25"/>
      <c r="E60" s="19" t="s">
        <v>60</v>
      </c>
      <c r="F60" s="25" t="s">
        <v>61</v>
      </c>
      <c r="G60" s="19" t="s">
        <v>62</v>
      </c>
      <c r="H60" s="25" t="s">
        <v>63</v>
      </c>
      <c r="I60" s="19" t="s">
        <v>62</v>
      </c>
      <c r="J60" s="25" t="s">
        <v>61</v>
      </c>
      <c r="K60" s="50"/>
      <c r="L60" s="51"/>
      <c r="M60" s="28">
        <f>CEILING((100*K60)/(101.3-2.67123*L60)*0.7,2.5)</f>
        <v>0</v>
      </c>
      <c r="N60" s="25" t="s">
        <v>64</v>
      </c>
      <c r="O60" s="25">
        <f>CEILING((100*K60)/(101.3-2.67123*L60)*0.75,2.5)</f>
        <v>0</v>
      </c>
      <c r="P60" s="25" t="s">
        <v>65</v>
      </c>
      <c r="Q60" s="25">
        <f>CEILING((100*K60)/(101.3-2.67123*L60)*0.6,2.5)</f>
        <v>0</v>
      </c>
      <c r="R60" s="25" t="s">
        <v>66</v>
      </c>
      <c r="S60" s="25">
        <f>CEILING((100*K60)/(101.3-2.67123*L60)*0.8,2.5)</f>
        <v>0</v>
      </c>
      <c r="T60" s="33" t="s">
        <v>154</v>
      </c>
      <c r="U60" s="25">
        <f>CEILING((100*K60)/(101.3-2.67123*L60)*0.725,2.5)</f>
        <v>0</v>
      </c>
      <c r="V60" s="25" t="s">
        <v>67</v>
      </c>
      <c r="W60" s="25">
        <f>CEILING((100*K60)/(101.3-2.67123*L60)*0.825,2.5)</f>
        <v>0</v>
      </c>
      <c r="X60" s="33" t="s">
        <v>68</v>
      </c>
      <c r="Y60" s="25">
        <f>CEILING((100*K60)/(101.3-2.67123*L60)*0.6,2.5)</f>
        <v>0</v>
      </c>
      <c r="Z60" s="25" t="s">
        <v>66</v>
      </c>
      <c r="AA60" s="25">
        <f>CEILING((100*K60)/(101.3-2.67123*L60)*0.85,2.5)</f>
        <v>0</v>
      </c>
      <c r="AB60" s="33" t="s">
        <v>155</v>
      </c>
      <c r="AC60" s="25">
        <f>CEILING((100*K60)/(101.3-2.67123*L60)*0.75,2.5)</f>
        <v>0</v>
      </c>
      <c r="AD60" s="25" t="s">
        <v>65</v>
      </c>
      <c r="AE60" s="25">
        <f>CEILING((100*K60)/(101.3-2.67123*L60)*0.875,2.5)</f>
        <v>0</v>
      </c>
      <c r="AF60" s="33" t="s">
        <v>72</v>
      </c>
      <c r="AG60" s="25">
        <f>CEILING((100*K60)/(101.3-2.67123*L60)*0.65,2.5)</f>
        <v>0</v>
      </c>
      <c r="AH60" s="33" t="s">
        <v>64</v>
      </c>
      <c r="AI60" s="25">
        <f t="shared" ref="AI60:AI61" si="1">CEILING((100*K60)/(101.3-2.67123*L60)*0.9,2.5)</f>
        <v>0</v>
      </c>
      <c r="AJ60" s="25"/>
      <c r="AK60" s="6"/>
      <c r="AL60" s="6"/>
      <c r="AM60" s="6"/>
      <c r="AN60" s="6"/>
      <c r="AO60" s="6"/>
    </row>
    <row r="61" ht="15.75" customHeight="1">
      <c r="A61" s="23" t="s">
        <v>70</v>
      </c>
      <c r="B61" s="24"/>
      <c r="C61" s="23"/>
      <c r="D61" s="25"/>
      <c r="E61" s="19" t="s">
        <v>60</v>
      </c>
      <c r="F61" s="25" t="s">
        <v>61</v>
      </c>
      <c r="G61" s="19" t="s">
        <v>62</v>
      </c>
      <c r="H61" s="25" t="s">
        <v>63</v>
      </c>
      <c r="I61" s="19" t="s">
        <v>62</v>
      </c>
      <c r="J61" s="25" t="s">
        <v>61</v>
      </c>
      <c r="K61" s="52"/>
      <c r="L61" s="53"/>
      <c r="M61" s="28">
        <f>CEILING((100*K61)/(101.3-2.67123*L61)*0.6,2.5)</f>
        <v>0</v>
      </c>
      <c r="N61" s="25" t="s">
        <v>63</v>
      </c>
      <c r="O61" s="25">
        <f>CEILING((100*K61)/(101.3-2.67123*L61)*0.8,2.5)</f>
        <v>0</v>
      </c>
      <c r="P61" s="25" t="s">
        <v>68</v>
      </c>
      <c r="Q61" s="25">
        <f>CEILING((100*K61)/(101.3-2.67123*L61)*0.7,2.5)</f>
        <v>0</v>
      </c>
      <c r="R61" s="25" t="s">
        <v>71</v>
      </c>
      <c r="S61" s="25">
        <f>CEILING((100*K61)/(101.3-2.67123*L61)*0.825,2.5)</f>
        <v>0</v>
      </c>
      <c r="T61" s="33" t="s">
        <v>69</v>
      </c>
      <c r="U61" s="25">
        <f>CEILING((100*K61)/(101.3-2.67123*L61)*0.65,2.5)</f>
        <v>0</v>
      </c>
      <c r="V61" s="25" t="s">
        <v>64</v>
      </c>
      <c r="W61" s="25">
        <f>CEILING((100*K61)/(101.3-2.67123*L61)*0.85,2.5)</f>
        <v>0</v>
      </c>
      <c r="X61" s="33" t="s">
        <v>72</v>
      </c>
      <c r="Y61" s="25">
        <f>CEILING((100*K61)/(101.3-2.67123*L61)*0.725,2.5)</f>
        <v>0</v>
      </c>
      <c r="Z61" s="25" t="s">
        <v>68</v>
      </c>
      <c r="AA61" s="25">
        <f>CEILING((100*K61)/(101.3-2.67123*L61)*0.875,2.5)</f>
        <v>0</v>
      </c>
      <c r="AB61" s="33" t="s">
        <v>88</v>
      </c>
      <c r="AC61" s="25">
        <f>CEILING((100*K61)/(101.3-2.67123*L61)*0.7,2.5)</f>
        <v>0</v>
      </c>
      <c r="AD61" s="25" t="s">
        <v>65</v>
      </c>
      <c r="AE61" s="25">
        <f>CEILING((100*K61)/(101.3-2.67123*L61)*0.9,2.5)</f>
        <v>0</v>
      </c>
      <c r="AF61" s="33" t="s">
        <v>156</v>
      </c>
      <c r="AG61" s="25">
        <f>CEILING((100*K61)/(101.3-2.67123*L61)*0.7,2.5)</f>
        <v>0</v>
      </c>
      <c r="AH61" s="33" t="s">
        <v>90</v>
      </c>
      <c r="AI61" s="25">
        <f t="shared" si="1"/>
        <v>0</v>
      </c>
      <c r="AJ61" s="25"/>
      <c r="AK61" s="6"/>
      <c r="AL61" s="6"/>
      <c r="AM61" s="6"/>
      <c r="AN61" s="6"/>
      <c r="AO61" s="6"/>
    </row>
    <row r="62" ht="15.75" customHeight="1">
      <c r="A62" s="23" t="s">
        <v>73</v>
      </c>
      <c r="B62" s="31"/>
      <c r="C62" s="24"/>
      <c r="D62" s="25"/>
      <c r="E62" s="19" t="s">
        <v>60</v>
      </c>
      <c r="F62" s="25" t="s">
        <v>61</v>
      </c>
      <c r="G62" s="19" t="s">
        <v>62</v>
      </c>
      <c r="H62" s="25" t="s">
        <v>63</v>
      </c>
      <c r="I62" s="19" t="s">
        <v>62</v>
      </c>
      <c r="J62" s="25" t="s">
        <v>61</v>
      </c>
      <c r="K62" s="52"/>
      <c r="L62" s="52"/>
      <c r="M62" s="28">
        <f>CEILING((100*K62)/(101.3-2.67123*L62)*0.6,10)</f>
        <v>0</v>
      </c>
      <c r="N62" s="25" t="s">
        <v>63</v>
      </c>
      <c r="O62" s="25">
        <f>CEILING((100*K62)/(101.3-2.67123*L62)*0.7,10)</f>
        <v>0</v>
      </c>
      <c r="P62" s="25" t="s">
        <v>74</v>
      </c>
      <c r="Q62" s="25">
        <f>CEILING((100*K62)/(101.3-2.67123*L62)*0.5,10)</f>
        <v>0</v>
      </c>
      <c r="R62" s="25" t="s">
        <v>63</v>
      </c>
      <c r="S62" s="25">
        <f>CEILING((100*K62)/(101.3-2.67123*L62)*0.75,10)</f>
        <v>0</v>
      </c>
      <c r="T62" s="33" t="s">
        <v>65</v>
      </c>
      <c r="U62" s="25">
        <f>CEILING((100*K62)/(101.3-2.67123*L62)*0.65,10)</f>
        <v>0</v>
      </c>
      <c r="V62" s="25" t="s">
        <v>64</v>
      </c>
      <c r="W62" s="25">
        <f>CEILING((100*K62)/(101.3-2.67123*L62)*0.75,10)</f>
        <v>0</v>
      </c>
      <c r="X62" s="33" t="s">
        <v>67</v>
      </c>
      <c r="Y62" s="25">
        <f>CEILING((100*K62)/(101.3-2.67123*L62)*0.5,10)</f>
        <v>0</v>
      </c>
      <c r="Z62" s="25" t="s">
        <v>66</v>
      </c>
      <c r="AA62" s="25">
        <f>CEILING((100*K62)/(101.3-2.67123*L62)*0.775,10)</f>
        <v>0</v>
      </c>
      <c r="AB62" s="33" t="s">
        <v>64</v>
      </c>
      <c r="AC62" s="25">
        <f>CEILING((100*K62)/(101.3-2.67123*L62)*0.6,10)</f>
        <v>0</v>
      </c>
      <c r="AD62" s="25" t="s">
        <v>66</v>
      </c>
      <c r="AE62" s="25">
        <f>CEILING((100*K62)/(101.3-2.67123*L62)*0.725,10)</f>
        <v>0</v>
      </c>
      <c r="AF62" s="25" t="s">
        <v>66</v>
      </c>
      <c r="AG62" s="25">
        <f>CEILING((100*K62)/(101.3-2.67123*L62)*0.5,10)</f>
        <v>0</v>
      </c>
      <c r="AH62" s="33" t="s">
        <v>157</v>
      </c>
      <c r="AI62" s="25">
        <f>CEILING((100*K62)/(101.3-2.67123*L62)*0.85,10)</f>
        <v>0</v>
      </c>
      <c r="AJ62" s="25"/>
      <c r="AK62" s="6"/>
      <c r="AL62" s="6"/>
      <c r="AM62" s="6"/>
      <c r="AN62" s="6"/>
      <c r="AO62" s="6"/>
    </row>
    <row r="63" ht="15.75" customHeight="1">
      <c r="A63" s="32" t="s">
        <v>75</v>
      </c>
      <c r="B63" s="24"/>
      <c r="C63" s="24"/>
      <c r="D63" s="25"/>
      <c r="E63" s="19" t="s">
        <v>76</v>
      </c>
      <c r="F63" s="25" t="s">
        <v>61</v>
      </c>
      <c r="G63" s="19" t="s">
        <v>60</v>
      </c>
      <c r="H63" s="25" t="s">
        <v>63</v>
      </c>
      <c r="I63" s="20" t="s">
        <v>60</v>
      </c>
      <c r="J63" s="25" t="s">
        <v>61</v>
      </c>
      <c r="K63" s="29"/>
      <c r="L63" s="29"/>
      <c r="M63" s="28">
        <f>CEILING((100*K63)/(101.3-2.67123*L63)*0.6,2.5)</f>
        <v>0</v>
      </c>
      <c r="N63" s="25" t="s">
        <v>63</v>
      </c>
      <c r="O63" s="25">
        <f>CEILING((100*K63)/(101.3-2.67123*L63)*0.7,2.5)</f>
        <v>0</v>
      </c>
      <c r="P63" s="25" t="s">
        <v>64</v>
      </c>
      <c r="Q63" s="25">
        <f>CEILING((100*K63)/(101.3-2.67123*L63)*0.5,2.5)</f>
        <v>0</v>
      </c>
      <c r="R63" s="25" t="s">
        <v>66</v>
      </c>
      <c r="S63" s="25">
        <f>CEILING((100*K63)/(101.3-2.67123*L63)*0.825,2.5)</f>
        <v>0</v>
      </c>
      <c r="T63" s="33" t="s">
        <v>68</v>
      </c>
      <c r="U63" s="25">
        <f>CEILING((100*K63)/(101.3-2.67123*L63)*0.65,2.5)</f>
        <v>0</v>
      </c>
      <c r="V63" s="25" t="s">
        <v>64</v>
      </c>
      <c r="W63" s="25">
        <f>CEILING((100*K63)/(101.3-2.67123*L63)*0.75,2.5)</f>
        <v>0</v>
      </c>
      <c r="X63" s="25" t="s">
        <v>65</v>
      </c>
      <c r="Y63" s="25">
        <f>CEILING((100*K63)/(101.3-2.67123*L63)*0.5,2.5)</f>
        <v>0</v>
      </c>
      <c r="Z63" s="33" t="s">
        <v>63</v>
      </c>
      <c r="AA63" s="25">
        <f>CEILING((100*K63)/(101.3-2.67123*L63)*0.85,2.5)</f>
        <v>0</v>
      </c>
      <c r="AB63" s="33" t="s">
        <v>158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ht="15.75" customHeight="1">
      <c r="A64" s="23" t="s">
        <v>77</v>
      </c>
      <c r="B64" s="24"/>
      <c r="C64" s="34"/>
      <c r="D64" s="25"/>
      <c r="E64" s="19" t="s">
        <v>76</v>
      </c>
      <c r="F64" s="25" t="s">
        <v>61</v>
      </c>
      <c r="G64" s="19" t="s">
        <v>60</v>
      </c>
      <c r="H64" s="35" t="s">
        <v>63</v>
      </c>
      <c r="I64" s="19" t="s">
        <v>60</v>
      </c>
      <c r="J64" s="25" t="s">
        <v>61</v>
      </c>
      <c r="K64" s="19" t="s">
        <v>60</v>
      </c>
      <c r="L64" s="25" t="s">
        <v>78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ht="15.75" customHeight="1">
      <c r="A65" s="23" t="s">
        <v>79</v>
      </c>
      <c r="B65" s="25"/>
      <c r="C65" s="25"/>
      <c r="D65" s="25"/>
      <c r="E65" s="19" t="s">
        <v>76</v>
      </c>
      <c r="F65" s="25" t="s">
        <v>61</v>
      </c>
      <c r="G65" s="19" t="s">
        <v>60</v>
      </c>
      <c r="H65" s="25" t="s">
        <v>63</v>
      </c>
      <c r="I65" s="19" t="s">
        <v>60</v>
      </c>
      <c r="J65" s="25" t="s">
        <v>61</v>
      </c>
      <c r="K65" s="19" t="s">
        <v>60</v>
      </c>
      <c r="L65" s="25" t="s">
        <v>78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ht="15.75" customHeight="1">
      <c r="A66" s="23" t="s">
        <v>80</v>
      </c>
      <c r="B66" s="24"/>
      <c r="C66" s="24" t="s">
        <v>81</v>
      </c>
      <c r="D66" s="25"/>
      <c r="E66" s="19" t="s">
        <v>82</v>
      </c>
      <c r="F66" s="25" t="s">
        <v>61</v>
      </c>
      <c r="G66" s="19" t="s">
        <v>82</v>
      </c>
      <c r="H66" s="25" t="s">
        <v>63</v>
      </c>
      <c r="I66" s="19" t="s">
        <v>82</v>
      </c>
      <c r="J66" s="25" t="s">
        <v>66</v>
      </c>
      <c r="K66" s="19" t="s">
        <v>82</v>
      </c>
      <c r="L66" s="25" t="s">
        <v>61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T66" s="6"/>
      <c r="AU66" s="6"/>
    </row>
    <row r="67" ht="15.75" customHeight="1">
      <c r="AK67" s="6"/>
      <c r="AL67" s="6"/>
      <c r="AM67" s="6"/>
      <c r="AN67" s="6"/>
      <c r="AO67" s="6"/>
      <c r="AT67" s="6"/>
      <c r="AU67" s="6"/>
    </row>
    <row r="68" ht="15.75" customHeight="1">
      <c r="A68" s="9"/>
      <c r="AL68" s="6"/>
      <c r="AM68" s="6"/>
      <c r="AN68" s="6"/>
      <c r="AO68" s="6"/>
      <c r="AR68" s="6"/>
      <c r="AS68" s="6"/>
      <c r="AT68" s="6"/>
      <c r="AU68" s="6"/>
    </row>
    <row r="69" ht="15.75" customHeight="1">
      <c r="A69" s="9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ht="15.75" customHeight="1">
      <c r="A70" s="18" t="s">
        <v>83</v>
      </c>
      <c r="B70" s="2"/>
      <c r="C70" s="1" t="s">
        <v>55</v>
      </c>
      <c r="E70" s="19" t="s">
        <v>56</v>
      </c>
      <c r="F70" s="19" t="s">
        <v>57</v>
      </c>
      <c r="G70" s="19" t="s">
        <v>56</v>
      </c>
      <c r="H70" s="19" t="s">
        <v>57</v>
      </c>
      <c r="I70" s="19" t="s">
        <v>56</v>
      </c>
      <c r="J70" s="19" t="s">
        <v>57</v>
      </c>
      <c r="K70" s="20" t="s">
        <v>56</v>
      </c>
      <c r="L70" s="20" t="s">
        <v>58</v>
      </c>
      <c r="M70" s="19" t="s">
        <v>56</v>
      </c>
      <c r="N70" s="19" t="s">
        <v>57</v>
      </c>
      <c r="O70" s="19" t="s">
        <v>56</v>
      </c>
      <c r="P70" s="19" t="s">
        <v>57</v>
      </c>
      <c r="Q70" s="19" t="s">
        <v>56</v>
      </c>
      <c r="R70" s="19" t="s">
        <v>57</v>
      </c>
      <c r="S70" s="19" t="s">
        <v>56</v>
      </c>
      <c r="T70" s="19" t="s">
        <v>57</v>
      </c>
      <c r="U70" s="19" t="s">
        <v>56</v>
      </c>
      <c r="V70" s="19" t="s">
        <v>57</v>
      </c>
      <c r="W70" s="19" t="s">
        <v>56</v>
      </c>
      <c r="X70" s="19" t="s">
        <v>57</v>
      </c>
      <c r="Y70" s="19" t="s">
        <v>56</v>
      </c>
      <c r="Z70" s="19" t="s">
        <v>57</v>
      </c>
      <c r="AA70" s="19" t="s">
        <v>56</v>
      </c>
      <c r="AB70" s="19" t="s">
        <v>57</v>
      </c>
      <c r="AC70" s="19" t="s">
        <v>56</v>
      </c>
      <c r="AD70" s="19" t="s">
        <v>57</v>
      </c>
      <c r="AE70" s="19" t="s">
        <v>56</v>
      </c>
      <c r="AF70" s="19" t="s">
        <v>57</v>
      </c>
      <c r="AG70" s="19" t="s">
        <v>56</v>
      </c>
      <c r="AH70" s="19" t="s">
        <v>57</v>
      </c>
      <c r="AI70" s="19" t="s">
        <v>56</v>
      </c>
      <c r="AJ70" s="19" t="s">
        <v>58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ht="15.75" customHeight="1">
      <c r="A71" s="23" t="s">
        <v>84</v>
      </c>
      <c r="B71" s="24"/>
      <c r="C71" s="24"/>
      <c r="D71" s="25"/>
      <c r="E71" s="21" t="s">
        <v>60</v>
      </c>
      <c r="F71" s="36" t="s">
        <v>61</v>
      </c>
      <c r="G71" s="21" t="s">
        <v>62</v>
      </c>
      <c r="H71" s="25" t="s">
        <v>63</v>
      </c>
      <c r="I71" s="19" t="s">
        <v>62</v>
      </c>
      <c r="J71" s="36" t="s">
        <v>61</v>
      </c>
      <c r="K71" s="37"/>
      <c r="L71" s="29"/>
      <c r="M71" s="38">
        <f>CEILING((100*K71)/(101.3-2.67123*L71)*0.6,2.5)</f>
        <v>0</v>
      </c>
      <c r="N71" s="36" t="s">
        <v>66</v>
      </c>
      <c r="O71" s="36">
        <f>CEILING((100*K71)/(101.3-2.67123*L71)*0.75,2.5)</f>
        <v>0</v>
      </c>
      <c r="P71" s="54" t="s">
        <v>65</v>
      </c>
      <c r="Q71" s="36">
        <f>CEILING((100*K71)/(101.3-2.67123*L71)*0.7,2.5)</f>
        <v>0</v>
      </c>
      <c r="R71" s="36" t="s">
        <v>63</v>
      </c>
      <c r="S71" s="36">
        <f>CEILING((100*K71)/(101.3-2.67123*L71)*0.8,2.5)</f>
        <v>0</v>
      </c>
      <c r="T71" s="54" t="s">
        <v>68</v>
      </c>
      <c r="U71" s="38">
        <f>CEILING((100*K71)/(101.3-2.67123*L71)*0.55,2.5)</f>
        <v>0</v>
      </c>
      <c r="V71" s="36" t="s">
        <v>66</v>
      </c>
      <c r="W71" s="36">
        <f>CEILING((100*K71)/(101.3-2.67123*L71)*0.825,2.5)</f>
        <v>0</v>
      </c>
      <c r="X71" s="36" t="s">
        <v>69</v>
      </c>
      <c r="Y71" s="36">
        <f>CEILING((100*K71)/(101.3-2.67123*L71)*0.7,2.5)</f>
        <v>0</v>
      </c>
      <c r="Z71" s="36" t="s">
        <v>64</v>
      </c>
      <c r="AA71" s="36">
        <f t="shared" ref="AA71:AA72" si="2">CEILING((100*K71)/(101.3-2.67123*L71)*0.85,2.5)</f>
        <v>0</v>
      </c>
      <c r="AB71" s="33" t="s">
        <v>69</v>
      </c>
      <c r="AC71" s="28">
        <f>CEILING((100*K71)/(101.3-2.67123*L71)*0.6,2.5)</f>
        <v>0</v>
      </c>
      <c r="AD71" s="33" t="s">
        <v>63</v>
      </c>
      <c r="AE71" s="25">
        <f t="shared" ref="AE71:AE72" si="3">CEILING((100*K71)/(101.3-2.67123*L71)*0.875,2.5)</f>
        <v>0</v>
      </c>
      <c r="AF71" s="33" t="s">
        <v>72</v>
      </c>
      <c r="AG71" s="25">
        <f>CEILING((100*K71)/(101.3-2.67123*L71)*0.7,2.5)</f>
        <v>0</v>
      </c>
      <c r="AH71" s="33" t="s">
        <v>71</v>
      </c>
      <c r="AI71" s="25">
        <f t="shared" ref="AI71:AI72" si="4">CEILING((100*K71)/(101.3-2.67123*L71)*0.9,2.5)</f>
        <v>0</v>
      </c>
      <c r="AJ71" s="25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ht="15.75" customHeight="1">
      <c r="A72" s="23" t="s">
        <v>86</v>
      </c>
      <c r="B72" s="39"/>
      <c r="C72" s="23" t="s">
        <v>87</v>
      </c>
      <c r="D72" s="40"/>
      <c r="E72" s="19" t="s">
        <v>60</v>
      </c>
      <c r="F72" s="25" t="s">
        <v>61</v>
      </c>
      <c r="G72" s="21" t="s">
        <v>62</v>
      </c>
      <c r="H72" s="25" t="s">
        <v>63</v>
      </c>
      <c r="I72" s="19" t="s">
        <v>62</v>
      </c>
      <c r="J72" s="25" t="s">
        <v>61</v>
      </c>
      <c r="K72" s="29"/>
      <c r="L72" s="30"/>
      <c r="M72" s="28">
        <f>CEILING((100*K72)/(101.3-2.67123*L72)*0.7,2.5)</f>
        <v>0</v>
      </c>
      <c r="N72" s="25" t="s">
        <v>74</v>
      </c>
      <c r="O72" s="25">
        <f>CEILING((100*K72)/(101.3-2.67123*L72)*0.8,2.5)</f>
        <v>0</v>
      </c>
      <c r="P72" s="33" t="s">
        <v>68</v>
      </c>
      <c r="Q72" s="25">
        <f>CEILING((100*K72)/(101.3-2.67123*L72)*0.725,2.5)</f>
        <v>0</v>
      </c>
      <c r="R72" s="25" t="s">
        <v>65</v>
      </c>
      <c r="S72" s="25">
        <f>CEILING((100*K72)/(101.3-2.67123*L72)*0.825,2.5)</f>
        <v>0</v>
      </c>
      <c r="T72" s="33" t="s">
        <v>68</v>
      </c>
      <c r="U72" s="25">
        <f>CEILING((100*K72)/(101.3-2.67123*L72)*0.7,2.5)</f>
        <v>0</v>
      </c>
      <c r="V72" s="25" t="s">
        <v>66</v>
      </c>
      <c r="W72" s="25">
        <f>CEILING((100*K72)/(101.3-2.67123*L72)*0.8,2.5)</f>
        <v>0</v>
      </c>
      <c r="X72" s="33" t="s">
        <v>158</v>
      </c>
      <c r="Y72" s="25">
        <f>CEILING((100*K72)/(101.3-2.67123*L72)*0.725,2.5)</f>
        <v>0</v>
      </c>
      <c r="Z72" s="25" t="s">
        <v>64</v>
      </c>
      <c r="AA72" s="25">
        <f t="shared" si="2"/>
        <v>0</v>
      </c>
      <c r="AB72" s="33" t="s">
        <v>85</v>
      </c>
      <c r="AC72" s="25">
        <f>CEILING((100*K72)/(101.3-2.67123*L72)*0.75,2.5)</f>
        <v>0</v>
      </c>
      <c r="AD72" s="25" t="s">
        <v>65</v>
      </c>
      <c r="AE72" s="25">
        <f t="shared" si="3"/>
        <v>0</v>
      </c>
      <c r="AF72" s="33" t="s">
        <v>159</v>
      </c>
      <c r="AG72" s="25">
        <f>CEILING((100*K72)/(101.3-2.67123*L72)*0.75,2.5)</f>
        <v>0</v>
      </c>
      <c r="AH72" s="25" t="s">
        <v>71</v>
      </c>
      <c r="AI72" s="25">
        <f t="shared" si="4"/>
        <v>0</v>
      </c>
      <c r="AJ72" s="25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ht="15.75" customHeight="1">
      <c r="A73" s="23" t="s">
        <v>89</v>
      </c>
      <c r="B73" s="24"/>
      <c r="C73" s="24"/>
      <c r="D73" s="25"/>
      <c r="E73" s="19" t="s">
        <v>60</v>
      </c>
      <c r="F73" s="25" t="s">
        <v>61</v>
      </c>
      <c r="G73" s="19" t="s">
        <v>62</v>
      </c>
      <c r="H73" s="25" t="s">
        <v>63</v>
      </c>
      <c r="I73" s="19" t="s">
        <v>62</v>
      </c>
      <c r="J73" s="25" t="s">
        <v>61</v>
      </c>
      <c r="K73" s="26"/>
      <c r="L73" s="26"/>
      <c r="M73" s="28">
        <f>CEILING((100*K73)/(101.3-2.67123*L73)*0.6,2.5)</f>
        <v>0</v>
      </c>
      <c r="N73" s="25" t="s">
        <v>63</v>
      </c>
      <c r="O73" s="25">
        <f>CEILING((100*K73)/(101.3-2.67123*L73)*0.7,2.5)</f>
        <v>0</v>
      </c>
      <c r="P73" s="25" t="s">
        <v>74</v>
      </c>
      <c r="Q73" s="25">
        <f>CEILING((100*K73)/(101.3-2.67123*L73)*0.5,2.5)</f>
        <v>0</v>
      </c>
      <c r="R73" s="25" t="s">
        <v>63</v>
      </c>
      <c r="S73" s="25">
        <f>CEILING((100*K73)/(101.3-2.67123*L73)*0.775,2.5)</f>
        <v>0</v>
      </c>
      <c r="T73" s="33" t="s">
        <v>68</v>
      </c>
      <c r="U73" s="25">
        <f>CEILING((100*K73)/(101.3-2.67123*L73)*0.65,2.5)</f>
        <v>0</v>
      </c>
      <c r="V73" s="25" t="s">
        <v>64</v>
      </c>
      <c r="W73" s="25">
        <f>CEILING((100*K73)/(101.3-2.67123*L73)*0.75,2.5)</f>
        <v>0</v>
      </c>
      <c r="X73" s="25" t="s">
        <v>71</v>
      </c>
      <c r="Y73" s="25">
        <f>CEILING((100*K73)/(101.3-2.67123*L73)*0.65,2.5)</f>
        <v>0</v>
      </c>
      <c r="Z73" s="25" t="s">
        <v>63</v>
      </c>
      <c r="AA73" s="25">
        <f>CEILING((100*K73)/(101.3-2.67123*L73)*0.8,2.5)</f>
        <v>0</v>
      </c>
      <c r="AB73" s="33" t="s">
        <v>68</v>
      </c>
      <c r="AC73" s="25">
        <f>CEILING((100*K73)/(101.3-2.67123*L73)*0.6,2.5)</f>
        <v>0</v>
      </c>
      <c r="AD73" s="25" t="s">
        <v>65</v>
      </c>
      <c r="AE73" s="25">
        <f>CEILING((100*K73)/(101.3-2.67123*L73)*0.825,2.5)</f>
        <v>0</v>
      </c>
      <c r="AF73" s="33" t="s">
        <v>158</v>
      </c>
      <c r="AG73" s="25">
        <f>CEILING((100*K73)/(101.3-2.67123*L73)*0.6,2.5)</f>
        <v>0</v>
      </c>
      <c r="AH73" s="25" t="s">
        <v>66</v>
      </c>
      <c r="AI73" s="25">
        <f>CEILING((100*K73)/(101.3-2.67123*L73)*0.875,2.5)</f>
        <v>0</v>
      </c>
      <c r="AJ73" s="25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ht="15.75" customHeight="1">
      <c r="A74" s="23" t="s">
        <v>91</v>
      </c>
      <c r="B74" s="24"/>
      <c r="C74" s="24"/>
      <c r="D74" s="25"/>
      <c r="E74" s="20" t="s">
        <v>76</v>
      </c>
      <c r="F74" s="25" t="s">
        <v>61</v>
      </c>
      <c r="G74" s="19" t="s">
        <v>60</v>
      </c>
      <c r="H74" s="25" t="s">
        <v>63</v>
      </c>
      <c r="I74" s="20" t="s">
        <v>60</v>
      </c>
      <c r="J74" s="25" t="s">
        <v>61</v>
      </c>
      <c r="K74" s="29"/>
      <c r="L74" s="29"/>
      <c r="M74" s="28">
        <f>CEILING((100*K74)/(101.3-2.67123*L74)*0.6,2)</f>
        <v>0</v>
      </c>
      <c r="N74" s="33" t="s">
        <v>63</v>
      </c>
      <c r="O74" s="25">
        <f>CEILING((100*K74)/(101.3-2.67123*L74)*0.7,2)</f>
        <v>0</v>
      </c>
      <c r="P74" s="33" t="s">
        <v>74</v>
      </c>
      <c r="Q74" s="25">
        <f>CEILING((100*K74)/(101.3-2.67123*L74)*0.5,2)</f>
        <v>0</v>
      </c>
      <c r="R74" s="33" t="s">
        <v>93</v>
      </c>
      <c r="S74" s="25">
        <f>CEILING((100*K74)/(101.3-2.67123*L74)*0.8,2)</f>
        <v>0</v>
      </c>
      <c r="T74" s="33" t="s">
        <v>71</v>
      </c>
      <c r="U74" s="25">
        <f>CEILING((100*K74)/(101.3-2.67123*L74)*0.6,2)</f>
        <v>0</v>
      </c>
      <c r="V74" s="33" t="s">
        <v>93</v>
      </c>
      <c r="W74" s="25">
        <f>CEILING((100*K74)/(101.3-2.67123*L74)*0.7,2)</f>
        <v>0</v>
      </c>
      <c r="X74" s="25" t="s">
        <v>63</v>
      </c>
      <c r="Y74" s="25">
        <f>CEILING((100*K74)/(101.3-2.67123*L74)*0.5,2)</f>
        <v>0</v>
      </c>
      <c r="Z74" s="25" t="s">
        <v>93</v>
      </c>
      <c r="AA74" s="25">
        <f>CEILING((100*K74)/(101.3-2.67123*L74)*0.8,2)</f>
        <v>0</v>
      </c>
      <c r="AB74" s="33" t="s">
        <v>68</v>
      </c>
      <c r="AC74" s="6"/>
      <c r="AD74" s="6"/>
      <c r="AE74" s="6"/>
      <c r="AF74" s="6"/>
      <c r="AG74" s="6"/>
      <c r="AH74" s="6"/>
      <c r="AI74" s="6"/>
      <c r="AJ74" s="6"/>
      <c r="AN74" s="4"/>
      <c r="AO74" s="6"/>
      <c r="AP74" s="6"/>
      <c r="AQ74" s="6"/>
      <c r="AR74" s="6"/>
      <c r="AS74" s="6"/>
      <c r="AT74" s="6"/>
      <c r="AU74" s="6"/>
    </row>
    <row r="75" ht="15.75" customHeight="1">
      <c r="A75" s="23" t="s">
        <v>94</v>
      </c>
      <c r="B75" s="24"/>
      <c r="C75" s="24" t="s">
        <v>95</v>
      </c>
      <c r="D75" s="25"/>
      <c r="E75" s="19" t="s">
        <v>76</v>
      </c>
      <c r="F75" s="25" t="s">
        <v>61</v>
      </c>
      <c r="G75" s="19" t="s">
        <v>60</v>
      </c>
      <c r="H75" s="35" t="s">
        <v>63</v>
      </c>
      <c r="I75" s="19" t="s">
        <v>60</v>
      </c>
      <c r="J75" s="35" t="s">
        <v>61</v>
      </c>
      <c r="K75" s="21" t="s">
        <v>60</v>
      </c>
      <c r="L75" s="36" t="s">
        <v>78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4"/>
      <c r="AM75" s="6"/>
      <c r="AN75" s="6"/>
      <c r="AO75" s="6"/>
      <c r="AP75" s="6"/>
      <c r="AQ75" s="6"/>
      <c r="AR75" s="6"/>
      <c r="AS75" s="6"/>
      <c r="AT75" s="6"/>
      <c r="AU75" s="6"/>
    </row>
    <row r="76" ht="15.75" customHeight="1">
      <c r="A76" s="23" t="s">
        <v>96</v>
      </c>
      <c r="B76" s="40"/>
      <c r="C76" s="40"/>
      <c r="D76" s="40"/>
      <c r="E76" s="20" t="s">
        <v>76</v>
      </c>
      <c r="F76" s="40" t="s">
        <v>61</v>
      </c>
      <c r="G76" s="19" t="s">
        <v>60</v>
      </c>
      <c r="H76" s="25" t="s">
        <v>63</v>
      </c>
      <c r="I76" s="20" t="s">
        <v>60</v>
      </c>
      <c r="J76" s="41" t="s">
        <v>61</v>
      </c>
      <c r="K76" s="19" t="s">
        <v>60</v>
      </c>
      <c r="L76" s="25" t="s">
        <v>78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P76" s="6"/>
      <c r="AQ76" s="6"/>
      <c r="AR76" s="6"/>
      <c r="AS76" s="6"/>
    </row>
    <row r="77" ht="15.75" customHeight="1">
      <c r="A77" s="23" t="s">
        <v>97</v>
      </c>
      <c r="B77" s="24"/>
      <c r="C77" s="24"/>
      <c r="D77" s="25"/>
      <c r="E77" s="19" t="s">
        <v>82</v>
      </c>
      <c r="F77" s="25" t="s">
        <v>61</v>
      </c>
      <c r="G77" s="19" t="s">
        <v>82</v>
      </c>
      <c r="H77" s="25" t="s">
        <v>63</v>
      </c>
      <c r="I77" s="19" t="s">
        <v>82</v>
      </c>
      <c r="J77" s="35" t="s">
        <v>66</v>
      </c>
      <c r="K77" s="19" t="s">
        <v>82</v>
      </c>
      <c r="L77" s="25" t="s">
        <v>61</v>
      </c>
      <c r="M77" s="4"/>
      <c r="N77" s="6"/>
      <c r="O77" s="4"/>
      <c r="P77" s="6"/>
      <c r="Q77" s="4"/>
      <c r="R77" s="6"/>
      <c r="S77" s="4"/>
      <c r="T77" s="6"/>
      <c r="U77" s="4"/>
      <c r="V77" s="6"/>
      <c r="W77" s="4"/>
      <c r="X77" s="6"/>
      <c r="Y77" s="4"/>
      <c r="Z77" s="6"/>
      <c r="AA77" s="4"/>
      <c r="AB77" s="6"/>
      <c r="AC77" s="4"/>
      <c r="AD77" s="6"/>
      <c r="AE77" s="4"/>
      <c r="AF77" s="6"/>
      <c r="AG77" s="4"/>
      <c r="AH77" s="6"/>
      <c r="AI77" s="4"/>
      <c r="AJ77" s="6"/>
      <c r="AK77" s="6"/>
      <c r="AN77" s="6"/>
      <c r="AO77" s="6"/>
      <c r="AP77" s="6"/>
      <c r="AQ77" s="6"/>
      <c r="AR77" s="6"/>
      <c r="AS77" s="6"/>
    </row>
    <row r="78" ht="15.75" customHeight="1">
      <c r="AK78" s="6"/>
      <c r="AL78" s="6"/>
      <c r="AM78" s="6"/>
    </row>
    <row r="79" ht="15.75" customHeight="1">
      <c r="A79" s="9"/>
      <c r="AN79" s="6"/>
      <c r="AO79" s="6"/>
      <c r="AP79" s="6"/>
      <c r="AQ79" s="6"/>
    </row>
    <row r="80" ht="15.75" customHeight="1">
      <c r="A80" s="9"/>
      <c r="AM80" s="6"/>
      <c r="AN80" s="6"/>
      <c r="AO80" s="6"/>
    </row>
    <row r="81" ht="15.75" customHeight="1">
      <c r="A81" s="18" t="s">
        <v>98</v>
      </c>
      <c r="B81" s="2"/>
      <c r="C81" s="1" t="s">
        <v>55</v>
      </c>
      <c r="E81" s="19" t="s">
        <v>56</v>
      </c>
      <c r="F81" s="19" t="s">
        <v>57</v>
      </c>
      <c r="G81" s="19" t="s">
        <v>56</v>
      </c>
      <c r="H81" s="19" t="s">
        <v>57</v>
      </c>
      <c r="I81" s="19" t="s">
        <v>56</v>
      </c>
      <c r="J81" s="19" t="s">
        <v>57</v>
      </c>
      <c r="K81" s="20" t="s">
        <v>56</v>
      </c>
      <c r="L81" s="20" t="s">
        <v>58</v>
      </c>
      <c r="M81" s="19" t="s">
        <v>56</v>
      </c>
      <c r="N81" s="19" t="s">
        <v>57</v>
      </c>
      <c r="O81" s="19" t="s">
        <v>56</v>
      </c>
      <c r="P81" s="19" t="s">
        <v>57</v>
      </c>
      <c r="Q81" s="19" t="s">
        <v>56</v>
      </c>
      <c r="R81" s="19" t="s">
        <v>57</v>
      </c>
      <c r="S81" s="19" t="s">
        <v>56</v>
      </c>
      <c r="T81" s="19" t="s">
        <v>57</v>
      </c>
      <c r="U81" s="19" t="s">
        <v>56</v>
      </c>
      <c r="V81" s="19" t="s">
        <v>57</v>
      </c>
      <c r="W81" s="19" t="s">
        <v>56</v>
      </c>
      <c r="X81" s="19" t="s">
        <v>57</v>
      </c>
      <c r="Y81" s="19" t="s">
        <v>56</v>
      </c>
      <c r="Z81" s="19" t="s">
        <v>57</v>
      </c>
      <c r="AA81" s="19" t="s">
        <v>56</v>
      </c>
      <c r="AB81" s="21" t="s">
        <v>57</v>
      </c>
      <c r="AC81" s="19" t="s">
        <v>56</v>
      </c>
      <c r="AD81" s="19" t="s">
        <v>57</v>
      </c>
      <c r="AE81" s="19" t="s">
        <v>56</v>
      </c>
      <c r="AF81" s="19" t="s">
        <v>57</v>
      </c>
      <c r="AG81" s="19" t="s">
        <v>56</v>
      </c>
      <c r="AH81" s="19" t="s">
        <v>57</v>
      </c>
      <c r="AI81" s="19" t="s">
        <v>56</v>
      </c>
      <c r="AJ81" s="19" t="s">
        <v>58</v>
      </c>
      <c r="AK81" s="6"/>
      <c r="AL81" s="6"/>
      <c r="AM81" s="6"/>
      <c r="AN81" s="6"/>
      <c r="AO81" s="6"/>
    </row>
    <row r="82" ht="15.75" customHeight="1">
      <c r="A82" s="23" t="s">
        <v>99</v>
      </c>
      <c r="B82" s="24"/>
      <c r="C82" s="24" t="s">
        <v>100</v>
      </c>
      <c r="D82" s="25"/>
      <c r="E82" s="19" t="s">
        <v>60</v>
      </c>
      <c r="F82" s="25" t="s">
        <v>61</v>
      </c>
      <c r="G82" s="21" t="s">
        <v>62</v>
      </c>
      <c r="H82" s="25" t="s">
        <v>63</v>
      </c>
      <c r="I82" s="19" t="s">
        <v>62</v>
      </c>
      <c r="J82" s="25" t="s">
        <v>61</v>
      </c>
      <c r="K82" s="29"/>
      <c r="L82" s="30"/>
      <c r="M82" s="28">
        <f t="shared" ref="M82:M83" si="5">CEILING((100*K82)/(101.3-2.67123*L82)*0.7,2.5)</f>
        <v>0</v>
      </c>
      <c r="N82" s="25" t="s">
        <v>74</v>
      </c>
      <c r="O82" s="25">
        <f>CEILING((100*K82)/(101.3-2.67123*L82)*0.8,2.5)</f>
        <v>0</v>
      </c>
      <c r="P82" s="33" t="s">
        <v>68</v>
      </c>
      <c r="Q82" s="25">
        <f>CEILING((100*K82)/(101.3-2.67123*L82)*0.725,2.5)</f>
        <v>0</v>
      </c>
      <c r="R82" s="25" t="s">
        <v>65</v>
      </c>
      <c r="S82" s="25">
        <f>CEILING((100*K82)/(101.3-2.67123*L82)*0.825,2.5)</f>
        <v>0</v>
      </c>
      <c r="T82" s="33" t="s">
        <v>68</v>
      </c>
      <c r="U82" s="25">
        <f>CEILING((100*K82)/(101.3-2.67123*L82)*0.7,2.5)</f>
        <v>0</v>
      </c>
      <c r="V82" s="25" t="s">
        <v>66</v>
      </c>
      <c r="W82" s="25">
        <f>CEILING((100*K82)/(101.3-2.67123*L82)*0.8,2.5)</f>
        <v>0</v>
      </c>
      <c r="X82" s="33" t="s">
        <v>158</v>
      </c>
      <c r="Y82" s="25">
        <f>CEILING((100*K82)/(101.3-2.67123*L82)*0.725,2.5)</f>
        <v>0</v>
      </c>
      <c r="Z82" s="25" t="s">
        <v>64</v>
      </c>
      <c r="AA82" s="25">
        <f t="shared" ref="AA82:AA83" si="6">CEILING((100*K82)/(101.3-2.67123*L82)*0.85,2.5)</f>
        <v>0</v>
      </c>
      <c r="AB82" s="33" t="s">
        <v>85</v>
      </c>
      <c r="AC82" s="25">
        <f t="shared" ref="AC82:AC83" si="7">CEILING((100*K82)/(101.3-2.67123*L82)*0.75,2.5)</f>
        <v>0</v>
      </c>
      <c r="AD82" s="25" t="s">
        <v>65</v>
      </c>
      <c r="AE82" s="25">
        <f t="shared" ref="AE82:AE83" si="8">CEILING((100*K82)/(101.3-2.67123*L82)*0.875,2.5)</f>
        <v>0</v>
      </c>
      <c r="AF82" s="33" t="s">
        <v>159</v>
      </c>
      <c r="AG82" s="25">
        <f>CEILING((100*K82)/(101.3-2.67123*L82)*0.75,2.5)</f>
        <v>0</v>
      </c>
      <c r="AH82" s="25" t="s">
        <v>71</v>
      </c>
      <c r="AI82" s="25">
        <f t="shared" ref="AI82:AI83" si="9">CEILING((100*K82)/(101.3-2.67123*L82)*0.9,2.5)</f>
        <v>0</v>
      </c>
      <c r="AJ82" s="25"/>
      <c r="AK82" s="6"/>
      <c r="AL82" s="6"/>
      <c r="AM82" s="6"/>
      <c r="AN82" s="6"/>
      <c r="AO82" s="6"/>
    </row>
    <row r="83" ht="15.75" customHeight="1">
      <c r="A83" s="23" t="s">
        <v>101</v>
      </c>
      <c r="B83" s="42"/>
      <c r="C83" s="42"/>
      <c r="D83" s="40"/>
      <c r="E83" s="19" t="s">
        <v>60</v>
      </c>
      <c r="F83" s="25" t="s">
        <v>61</v>
      </c>
      <c r="G83" s="21" t="s">
        <v>62</v>
      </c>
      <c r="H83" s="25" t="s">
        <v>63</v>
      </c>
      <c r="I83" s="19" t="s">
        <v>62</v>
      </c>
      <c r="J83" s="25" t="s">
        <v>61</v>
      </c>
      <c r="K83" s="50"/>
      <c r="L83" s="51"/>
      <c r="M83" s="28">
        <f t="shared" si="5"/>
        <v>0</v>
      </c>
      <c r="N83" s="25" t="s">
        <v>64</v>
      </c>
      <c r="O83" s="25">
        <f>CEILING((100*K83)/(101.3-2.67123*L83)*0.75,2.5)</f>
        <v>0</v>
      </c>
      <c r="P83" s="25" t="s">
        <v>65</v>
      </c>
      <c r="Q83" s="25">
        <f>CEILING((100*K83)/(101.3-2.67123*L83)*0.6,2.5)</f>
        <v>0</v>
      </c>
      <c r="R83" s="25" t="s">
        <v>66</v>
      </c>
      <c r="S83" s="25">
        <f>CEILING((100*K83)/(101.3-2.67123*L83)*0.8,2.5)</f>
        <v>0</v>
      </c>
      <c r="T83" s="33" t="s">
        <v>154</v>
      </c>
      <c r="U83" s="25">
        <f>CEILING((100*K83)/(101.3-2.67123*L83)*0.725,2.5)</f>
        <v>0</v>
      </c>
      <c r="V83" s="25" t="s">
        <v>67</v>
      </c>
      <c r="W83" s="25">
        <f>CEILING((100*K83)/(101.3-2.67123*L83)*0.825,2.5)</f>
        <v>0</v>
      </c>
      <c r="X83" s="33" t="s">
        <v>68</v>
      </c>
      <c r="Y83" s="25">
        <f>CEILING((100*K83)/(101.3-2.67123*L83)*0.6,2.5)</f>
        <v>0</v>
      </c>
      <c r="Z83" s="25" t="s">
        <v>66</v>
      </c>
      <c r="AA83" s="25">
        <f t="shared" si="6"/>
        <v>0</v>
      </c>
      <c r="AB83" s="33" t="s">
        <v>155</v>
      </c>
      <c r="AC83" s="25">
        <f t="shared" si="7"/>
        <v>0</v>
      </c>
      <c r="AD83" s="25" t="s">
        <v>65</v>
      </c>
      <c r="AE83" s="25">
        <f t="shared" si="8"/>
        <v>0</v>
      </c>
      <c r="AF83" s="33" t="s">
        <v>72</v>
      </c>
      <c r="AG83" s="25">
        <f>CEILING((100*K83)/(101.3-2.67123*L83)*0.65,2.5)</f>
        <v>0</v>
      </c>
      <c r="AH83" s="33" t="s">
        <v>64</v>
      </c>
      <c r="AI83" s="25">
        <f t="shared" si="9"/>
        <v>0</v>
      </c>
      <c r="AJ83" s="25"/>
      <c r="AK83" s="6"/>
      <c r="AL83" s="6"/>
      <c r="AM83" s="6"/>
      <c r="AN83" s="6"/>
      <c r="AO83" s="6"/>
    </row>
    <row r="84" ht="15.75" customHeight="1">
      <c r="A84" s="32" t="s">
        <v>102</v>
      </c>
      <c r="B84" s="24"/>
      <c r="C84" s="24" t="s">
        <v>103</v>
      </c>
      <c r="D84" s="25"/>
      <c r="E84" s="19" t="s">
        <v>60</v>
      </c>
      <c r="F84" s="25" t="s">
        <v>61</v>
      </c>
      <c r="G84" s="21" t="s">
        <v>62</v>
      </c>
      <c r="H84" s="25" t="s">
        <v>63</v>
      </c>
      <c r="I84" s="19" t="s">
        <v>62</v>
      </c>
      <c r="J84" s="25" t="s">
        <v>61</v>
      </c>
      <c r="K84" s="26"/>
      <c r="L84" s="26"/>
      <c r="M84" s="28">
        <f>CEILING((100*K84)/(101.3-2.67123*L84)*0.6,2.5)</f>
        <v>0</v>
      </c>
      <c r="N84" s="33" t="s">
        <v>64</v>
      </c>
      <c r="O84" s="25">
        <f>CEILING((100*K84)/(101.3-2.67123*L84)*0.7,2.5)</f>
        <v>0</v>
      </c>
      <c r="P84" s="25" t="s">
        <v>74</v>
      </c>
      <c r="Q84" s="25">
        <f>CEILING((100*K84)/(101.3-2.67123*L84)*0.5,2.5)</f>
        <v>0</v>
      </c>
      <c r="R84" s="33" t="s">
        <v>67</v>
      </c>
      <c r="S84" s="25">
        <f>CEILING((100*K84)/(101.3-2.67123*L84)*0.775,2.5)</f>
        <v>0</v>
      </c>
      <c r="T84" s="33" t="s">
        <v>68</v>
      </c>
      <c r="U84" s="25">
        <f>CEILING((100*K84)/(101.3-2.67123*L84)*0.65,2.5)</f>
        <v>0</v>
      </c>
      <c r="V84" s="25" t="s">
        <v>64</v>
      </c>
      <c r="W84" s="25">
        <f>CEILING((100*K84)/(101.3-2.67123*L84)*0.75,2.5)</f>
        <v>0</v>
      </c>
      <c r="X84" s="25" t="s">
        <v>71</v>
      </c>
      <c r="Y84" s="25">
        <f>CEILING((100*K84)/(101.3-2.67123*L84)*0.65,2.5)</f>
        <v>0</v>
      </c>
      <c r="Z84" s="33" t="s">
        <v>74</v>
      </c>
      <c r="AA84" s="25">
        <f>CEILING((100*K84)/(101.3-2.67123*L84)*0.8,2.5)</f>
        <v>0</v>
      </c>
      <c r="AB84" s="33" t="s">
        <v>68</v>
      </c>
      <c r="AC84" s="25">
        <f>CEILING((100*K84)/(101.3-2.67123*L84)*0.6,2.5)</f>
        <v>0</v>
      </c>
      <c r="AD84" s="25" t="s">
        <v>65</v>
      </c>
      <c r="AE84" s="25">
        <f>CEILING((100*K84)/(101.3-2.67123*L84)*0.825,2.5)</f>
        <v>0</v>
      </c>
      <c r="AF84" s="33" t="s">
        <v>158</v>
      </c>
      <c r="AG84" s="25">
        <f>CEILING((100*K84)/(101.3-2.67123*L84)*0.6,2.5)</f>
        <v>0</v>
      </c>
      <c r="AH84" s="33" t="s">
        <v>65</v>
      </c>
      <c r="AI84" s="25">
        <f>CEILING((100*K84)/(101.3-2.67123*L84)*0.875,2.5)</f>
        <v>0</v>
      </c>
      <c r="AJ84" s="25"/>
      <c r="AK84" s="6"/>
      <c r="AL84" s="6"/>
      <c r="AM84" s="6"/>
      <c r="AN84" s="6"/>
      <c r="AO84" s="6"/>
    </row>
    <row r="85" ht="15.75" customHeight="1">
      <c r="A85" s="23" t="s">
        <v>104</v>
      </c>
      <c r="B85" s="24"/>
      <c r="C85" s="24" t="s">
        <v>105</v>
      </c>
      <c r="D85" s="25"/>
      <c r="E85" s="19" t="s">
        <v>76</v>
      </c>
      <c r="F85" s="25" t="s">
        <v>61</v>
      </c>
      <c r="G85" s="19" t="s">
        <v>60</v>
      </c>
      <c r="H85" s="25" t="s">
        <v>63</v>
      </c>
      <c r="I85" s="19" t="s">
        <v>60</v>
      </c>
      <c r="J85" s="25" t="s">
        <v>61</v>
      </c>
      <c r="K85" s="29"/>
      <c r="L85" s="29"/>
      <c r="M85" s="28">
        <f>CEILING((100*K85)/(101.3-2.67123*L85)*0.6,2)</f>
        <v>0</v>
      </c>
      <c r="N85" s="33" t="s">
        <v>63</v>
      </c>
      <c r="O85" s="25">
        <f>CEILING((100*K85)/(101.3-2.67123*L85)*0.7,2)</f>
        <v>0</v>
      </c>
      <c r="P85" s="33" t="s">
        <v>74</v>
      </c>
      <c r="Q85" s="25">
        <f>CEILING((100*K85)/(101.3-2.67123*L85)*0.5,2)</f>
        <v>0</v>
      </c>
      <c r="R85" s="33" t="s">
        <v>93</v>
      </c>
      <c r="S85" s="25">
        <f>CEILING((100*K85)/(101.3-2.67123*L85)*0.8,2)</f>
        <v>0</v>
      </c>
      <c r="T85" s="33" t="s">
        <v>71</v>
      </c>
      <c r="U85" s="25">
        <f>CEILING((100*K85)/(101.3-2.67123*L85)*0.6,2)</f>
        <v>0</v>
      </c>
      <c r="V85" s="33" t="s">
        <v>93</v>
      </c>
      <c r="W85" s="25">
        <f>CEILING((100*K85)/(101.3-2.67123*L85)*0.7,2)</f>
        <v>0</v>
      </c>
      <c r="X85" s="25" t="s">
        <v>63</v>
      </c>
      <c r="Y85" s="25">
        <f>CEILING((100*K85)/(101.3-2.67123*L85)*0.5,2)</f>
        <v>0</v>
      </c>
      <c r="Z85" s="25" t="s">
        <v>93</v>
      </c>
      <c r="AA85" s="25">
        <f>CEILING((100*K85)/(101.3-2.67123*L85)*0.8,2)</f>
        <v>0</v>
      </c>
      <c r="AB85" s="33" t="s">
        <v>68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ht="15.75" customHeight="1">
      <c r="A86" s="32" t="s">
        <v>106</v>
      </c>
      <c r="B86" s="25"/>
      <c r="C86" s="25"/>
      <c r="D86" s="25"/>
      <c r="E86" s="20" t="s">
        <v>76</v>
      </c>
      <c r="F86" s="25" t="s">
        <v>61</v>
      </c>
      <c r="G86" s="20" t="s">
        <v>60</v>
      </c>
      <c r="H86" s="35" t="s">
        <v>63</v>
      </c>
      <c r="I86" s="19" t="s">
        <v>60</v>
      </c>
      <c r="J86" s="35" t="s">
        <v>61</v>
      </c>
      <c r="K86" s="19" t="s">
        <v>60</v>
      </c>
      <c r="L86" s="25" t="s">
        <v>78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ht="15.75" customHeight="1">
      <c r="A87" s="23" t="s">
        <v>107</v>
      </c>
      <c r="B87" s="31"/>
      <c r="C87" s="31"/>
      <c r="D87" s="36"/>
      <c r="E87" s="19" t="s">
        <v>76</v>
      </c>
      <c r="F87" s="25" t="s">
        <v>61</v>
      </c>
      <c r="G87" s="19" t="s">
        <v>60</v>
      </c>
      <c r="H87" s="25" t="s">
        <v>63</v>
      </c>
      <c r="I87" s="20" t="s">
        <v>60</v>
      </c>
      <c r="J87" s="35" t="s">
        <v>61</v>
      </c>
      <c r="K87" s="19" t="s">
        <v>60</v>
      </c>
      <c r="L87" s="25" t="s">
        <v>78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15.75" customHeight="1">
      <c r="A88" s="23" t="s">
        <v>108</v>
      </c>
      <c r="B88" s="24"/>
      <c r="C88" s="24"/>
      <c r="D88" s="25"/>
      <c r="E88" s="19" t="s">
        <v>82</v>
      </c>
      <c r="F88" s="25" t="s">
        <v>109</v>
      </c>
      <c r="G88" s="19" t="s">
        <v>82</v>
      </c>
      <c r="H88" s="25" t="s">
        <v>110</v>
      </c>
      <c r="I88" s="19" t="s">
        <v>82</v>
      </c>
      <c r="J88" s="25" t="s">
        <v>111</v>
      </c>
      <c r="K88" s="19" t="s">
        <v>82</v>
      </c>
      <c r="L88" s="25" t="s">
        <v>112</v>
      </c>
      <c r="M88" s="4"/>
      <c r="N88" s="6"/>
      <c r="O88" s="4"/>
      <c r="P88" s="6"/>
      <c r="Q88" s="4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ht="15.75" customHeight="1">
      <c r="M89" s="6"/>
      <c r="N89" s="6"/>
      <c r="O89" s="6"/>
      <c r="P89" s="6"/>
      <c r="Q89" s="6"/>
      <c r="R89" s="6"/>
      <c r="S89" s="6"/>
    </row>
    <row r="90" ht="15.75" customHeight="1">
      <c r="M90" s="6"/>
      <c r="N90" s="6"/>
      <c r="O90" s="6"/>
      <c r="P90" s="6"/>
      <c r="Q90" s="6"/>
      <c r="R90" s="6"/>
      <c r="S90" s="6"/>
      <c r="AK90" s="6"/>
      <c r="AL90" s="6"/>
      <c r="AM90" s="6"/>
      <c r="AN90" s="6"/>
      <c r="AO90" s="6"/>
    </row>
    <row r="91" ht="15.75" customHeight="1"/>
    <row r="92" ht="15.75" customHeight="1">
      <c r="A92" s="1" t="s">
        <v>113</v>
      </c>
      <c r="N92" s="6"/>
      <c r="O92" s="6"/>
    </row>
    <row r="93" ht="15.75" customHeight="1">
      <c r="A93" s="2" t="s">
        <v>114</v>
      </c>
      <c r="N93" s="6"/>
      <c r="O93" s="6"/>
      <c r="Q93" s="6"/>
    </row>
    <row r="94" ht="15.75" customHeight="1">
      <c r="A94" s="1" t="s">
        <v>115</v>
      </c>
      <c r="K94" s="6"/>
      <c r="L94" s="6"/>
      <c r="M94" s="6"/>
      <c r="N94" s="6"/>
      <c r="O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15.75" customHeight="1">
      <c r="A95" s="2" t="s">
        <v>116</v>
      </c>
      <c r="K95" s="6"/>
      <c r="L95" s="6"/>
      <c r="M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ht="15.75" customHeight="1">
      <c r="A96" s="1" t="s">
        <v>117</v>
      </c>
      <c r="K96" s="6"/>
      <c r="L96" s="6"/>
      <c r="M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15.75" customHeight="1">
      <c r="A97" s="2" t="s">
        <v>118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ht="15.75" customHeight="1">
      <c r="A98" s="2" t="s">
        <v>160</v>
      </c>
      <c r="K98" s="4"/>
      <c r="L98" s="6"/>
      <c r="M98" s="4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15.75" customHeight="1">
      <c r="A99" s="1" t="s">
        <v>120</v>
      </c>
      <c r="C99" s="4"/>
      <c r="D99" s="4"/>
      <c r="E99" s="4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ht="15.75" customHeight="1">
      <c r="A100" s="2"/>
      <c r="B100" s="4"/>
      <c r="F100" s="4"/>
      <c r="G100" s="4"/>
      <c r="H100" s="4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ht="15.75" customHeight="1">
      <c r="A101" s="2"/>
      <c r="B101" s="6"/>
      <c r="C101" s="6"/>
      <c r="D101" s="6"/>
      <c r="E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ht="15.75" customHeight="1">
      <c r="A102" s="7" t="s">
        <v>121</v>
      </c>
      <c r="N102" s="6"/>
      <c r="O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ht="15.75" customHeight="1">
      <c r="A103" s="7" t="s">
        <v>122</v>
      </c>
      <c r="D103" s="6"/>
      <c r="E103" s="29"/>
      <c r="N103" s="6"/>
      <c r="O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ht="15.75" customHeight="1">
      <c r="A104" s="7" t="s">
        <v>123</v>
      </c>
      <c r="C104" s="29">
        <f>220-E103</f>
        <v>220</v>
      </c>
      <c r="K104" s="6"/>
      <c r="L104" s="6"/>
      <c r="N104" s="6"/>
      <c r="O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ht="15.75" customHeight="1">
      <c r="K105" s="6"/>
      <c r="L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ht="15.75" customHeight="1">
      <c r="A106" s="43" t="s">
        <v>124</v>
      </c>
      <c r="B106" s="44"/>
      <c r="C106" s="45" t="s">
        <v>125</v>
      </c>
      <c r="D106" s="34" t="s">
        <v>126</v>
      </c>
      <c r="E106" s="34" t="s">
        <v>127</v>
      </c>
      <c r="F106" s="34" t="s">
        <v>128</v>
      </c>
      <c r="G106" s="34" t="s">
        <v>129</v>
      </c>
      <c r="H106" s="34" t="s">
        <v>130</v>
      </c>
      <c r="I106" s="34" t="s">
        <v>131</v>
      </c>
      <c r="J106" s="34" t="s">
        <v>132</v>
      </c>
      <c r="K106" s="34" t="s">
        <v>133</v>
      </c>
      <c r="L106" s="45" t="s">
        <v>134</v>
      </c>
      <c r="M106" s="34" t="s">
        <v>135</v>
      </c>
      <c r="N106" s="34" t="s">
        <v>136</v>
      </c>
    </row>
    <row r="107" ht="15.75" customHeight="1">
      <c r="A107" s="46" t="s">
        <v>137</v>
      </c>
      <c r="B107" s="31"/>
      <c r="C107" s="47" t="s">
        <v>138</v>
      </c>
      <c r="D107" s="24" t="s">
        <v>139</v>
      </c>
      <c r="E107" s="24" t="s">
        <v>138</v>
      </c>
      <c r="F107" s="24" t="s">
        <v>139</v>
      </c>
      <c r="G107" s="24" t="s">
        <v>139</v>
      </c>
      <c r="H107" s="24" t="s">
        <v>139</v>
      </c>
      <c r="I107" s="47" t="s">
        <v>138</v>
      </c>
      <c r="J107" s="24" t="s">
        <v>140</v>
      </c>
      <c r="K107" s="24" t="s">
        <v>139</v>
      </c>
      <c r="L107" s="24" t="s">
        <v>139</v>
      </c>
      <c r="M107" s="47" t="s">
        <v>138</v>
      </c>
      <c r="N107" s="24" t="s">
        <v>139</v>
      </c>
    </row>
    <row r="108" ht="15.75" customHeight="1">
      <c r="A108" s="34" t="s">
        <v>141</v>
      </c>
      <c r="B108" s="24"/>
      <c r="C108" s="24">
        <v>2.0</v>
      </c>
      <c r="D108" s="24">
        <v>2.0</v>
      </c>
      <c r="E108" s="24">
        <v>2.0</v>
      </c>
      <c r="F108" s="24">
        <v>3.0</v>
      </c>
      <c r="G108" s="24">
        <v>3.0</v>
      </c>
      <c r="H108" s="24">
        <v>2.0</v>
      </c>
      <c r="I108" s="24">
        <v>3.0</v>
      </c>
      <c r="J108" s="24">
        <v>3.0</v>
      </c>
      <c r="K108" s="24">
        <v>2.0</v>
      </c>
      <c r="L108" s="24">
        <v>2.0</v>
      </c>
      <c r="M108" s="24">
        <v>2.0</v>
      </c>
      <c r="N108" s="24">
        <v>2.0</v>
      </c>
      <c r="P108" s="6"/>
    </row>
    <row r="109" ht="15.75" customHeight="1">
      <c r="A109" s="34" t="s">
        <v>142</v>
      </c>
      <c r="B109" s="24"/>
      <c r="C109" s="47">
        <v>35.0</v>
      </c>
      <c r="D109" s="24">
        <v>30.0</v>
      </c>
      <c r="E109" s="24">
        <v>40.0</v>
      </c>
      <c r="F109" s="47">
        <v>30.0</v>
      </c>
      <c r="G109" s="24">
        <v>40.0</v>
      </c>
      <c r="H109" s="24">
        <v>35.0</v>
      </c>
      <c r="I109" s="24">
        <v>45.0</v>
      </c>
      <c r="J109" s="24">
        <v>25.0</v>
      </c>
      <c r="K109" s="47">
        <v>35.0</v>
      </c>
      <c r="L109" s="24">
        <v>35.0</v>
      </c>
      <c r="M109" s="24">
        <v>30.0</v>
      </c>
      <c r="N109" s="24">
        <v>30.0</v>
      </c>
      <c r="P109" s="6"/>
    </row>
    <row r="110" ht="15.75" customHeight="1">
      <c r="L110" s="6"/>
      <c r="P110" s="6"/>
    </row>
    <row r="111" ht="15.75" customHeight="1">
      <c r="A111" s="7" t="s">
        <v>143</v>
      </c>
    </row>
    <row r="112" ht="15.75" customHeight="1">
      <c r="P112" s="6"/>
    </row>
    <row r="113" ht="15.75" customHeight="1">
      <c r="M113" s="6"/>
      <c r="N113" s="6"/>
      <c r="O113" s="6"/>
      <c r="P113" s="6"/>
    </row>
    <row r="114" ht="15.75" customHeight="1">
      <c r="M114" s="6"/>
      <c r="N114" s="6"/>
      <c r="O114" s="6"/>
    </row>
    <row r="115" ht="15.75" customHeight="1">
      <c r="M115" s="6"/>
      <c r="N115" s="6"/>
      <c r="O115" s="6"/>
    </row>
    <row r="116" ht="15.75" customHeight="1">
      <c r="M116" s="6"/>
      <c r="N116" s="6"/>
      <c r="O116" s="6"/>
    </row>
    <row r="117" ht="15.75" customHeight="1">
      <c r="M117" s="6"/>
      <c r="N117" s="4"/>
      <c r="O117" s="6"/>
    </row>
    <row r="118" ht="15.75" customHeight="1">
      <c r="M118" s="6"/>
      <c r="N118" s="6"/>
    </row>
    <row r="119" ht="15.75" customHeight="1"/>
    <row r="120" ht="15.75" customHeight="1"/>
    <row r="121" ht="15.75" customHeight="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5.75" customHeight="1"/>
    <row r="143" ht="15.75" customHeight="1">
      <c r="C143" s="2"/>
      <c r="D143" s="2"/>
      <c r="E143" s="2"/>
      <c r="F143" s="2"/>
      <c r="O143" s="6"/>
    </row>
    <row r="144" ht="15.75" customHeight="1">
      <c r="C144" s="23"/>
      <c r="D144" s="2"/>
      <c r="E144" s="2"/>
      <c r="F144" s="23"/>
    </row>
    <row r="145" ht="15.75" customHeight="1">
      <c r="C145" s="23"/>
      <c r="D145" s="2"/>
      <c r="E145" s="2"/>
      <c r="F145" s="23"/>
      <c r="O145" s="6"/>
    </row>
    <row r="146" ht="15.75" customHeight="1">
      <c r="C146" s="23"/>
      <c r="D146" s="2"/>
      <c r="E146" s="2"/>
      <c r="F146" s="23"/>
    </row>
    <row r="147" ht="15.75" customHeight="1">
      <c r="C147" s="23"/>
      <c r="D147" s="2"/>
      <c r="E147" s="2"/>
      <c r="F147" s="23"/>
    </row>
    <row r="148" ht="15.75" customHeight="1">
      <c r="C148" s="23"/>
      <c r="D148" s="2"/>
      <c r="E148" s="2"/>
      <c r="F148" s="23"/>
    </row>
    <row r="149" ht="15.75" customHeight="1">
      <c r="C149" s="23"/>
      <c r="D149" s="2"/>
      <c r="E149" s="2"/>
      <c r="F149" s="23"/>
    </row>
    <row r="150" ht="15.75" customHeight="1">
      <c r="C150" s="23"/>
      <c r="D150" s="2"/>
      <c r="E150" s="2"/>
      <c r="F150" s="23"/>
    </row>
    <row r="151" ht="15.75" customHeight="1">
      <c r="C151" s="23"/>
      <c r="D151" s="2"/>
      <c r="E151" s="2"/>
      <c r="F151" s="23"/>
    </row>
    <row r="152" ht="15.75" customHeight="1">
      <c r="C152" s="23"/>
      <c r="D152" s="2"/>
      <c r="E152" s="2"/>
      <c r="F152" s="23"/>
    </row>
    <row r="153" ht="15.75" customHeight="1">
      <c r="C153" s="23"/>
      <c r="D153" s="2"/>
      <c r="E153" s="2"/>
      <c r="F153" s="23"/>
    </row>
    <row r="154" ht="15.75" customHeight="1">
      <c r="C154" s="23"/>
      <c r="D154" s="2"/>
      <c r="E154" s="2"/>
      <c r="F154" s="23"/>
    </row>
    <row r="155" ht="15.75" customHeight="1">
      <c r="C155" s="23"/>
      <c r="D155" s="2"/>
      <c r="E155" s="2"/>
      <c r="F155" s="23"/>
    </row>
    <row r="156" ht="15.75" customHeight="1">
      <c r="C156" s="23"/>
      <c r="D156" s="2"/>
      <c r="E156" s="2"/>
      <c r="F156" s="2"/>
    </row>
    <row r="157" ht="15.75" customHeight="1">
      <c r="C157" s="23"/>
      <c r="D157" s="2"/>
      <c r="E157" s="2"/>
      <c r="F157" s="2"/>
    </row>
    <row r="158" ht="15.75" customHeight="1">
      <c r="C158" s="23"/>
      <c r="D158" s="2"/>
      <c r="E158" s="2"/>
      <c r="F158" s="2"/>
    </row>
    <row r="159" ht="15.75" customHeight="1">
      <c r="C159" s="23"/>
      <c r="D159" s="2"/>
      <c r="E159" s="2"/>
      <c r="F159" s="2"/>
    </row>
    <row r="160" ht="15.75" customHeight="1">
      <c r="C160" s="23"/>
      <c r="D160" s="2"/>
      <c r="E160" s="2"/>
      <c r="F160" s="2"/>
    </row>
    <row r="161" ht="15.75" customHeight="1">
      <c r="C161" s="2"/>
      <c r="D161" s="2"/>
      <c r="E161" s="2"/>
      <c r="F161" s="2"/>
    </row>
    <row r="162" ht="15.75" customHeight="1">
      <c r="C162" s="2"/>
      <c r="D162" s="2"/>
      <c r="E162" s="2"/>
      <c r="F162" s="2"/>
    </row>
    <row r="163" ht="15.75" customHeight="1"/>
    <row r="164" ht="15.75" customHeight="1"/>
    <row r="165" ht="15.75" customHeight="1">
      <c r="S165" s="6"/>
    </row>
    <row r="166" ht="15.75" customHeight="1">
      <c r="S166" s="6"/>
    </row>
    <row r="167" ht="15.75" customHeight="1">
      <c r="S167" s="6"/>
    </row>
    <row r="168" ht="15.75" customHeight="1">
      <c r="S168" s="6"/>
    </row>
    <row r="169" ht="15.75" customHeight="1">
      <c r="S169" s="6"/>
    </row>
    <row r="170" ht="15.75" customHeight="1">
      <c r="S170" s="6"/>
    </row>
    <row r="171" ht="15.75" customHeight="1">
      <c r="S171" s="6"/>
    </row>
    <row r="172" ht="15.75" customHeight="1">
      <c r="S172" s="6"/>
    </row>
    <row r="173" ht="15.75" customHeight="1">
      <c r="S173" s="6"/>
    </row>
    <row r="174" ht="15.75" customHeight="1">
      <c r="S174" s="6"/>
    </row>
    <row r="175" ht="15.75" customHeight="1">
      <c r="S175" s="6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>
      <c r="S188" s="6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Q56:AF56"/>
    <mergeCell ref="AI56:AJ56"/>
    <mergeCell ref="K57:L57"/>
    <mergeCell ref="M57:T57"/>
    <mergeCell ref="U57:AB57"/>
    <mergeCell ref="AC57:AH57"/>
    <mergeCell ref="AI57:AJ57"/>
    <mergeCell ref="E57:J57"/>
    <mergeCell ref="E58:F58"/>
    <mergeCell ref="G58:H58"/>
    <mergeCell ref="I58:J58"/>
    <mergeCell ref="K58:L58"/>
    <mergeCell ref="M58:N58"/>
    <mergeCell ref="O58:P58"/>
    <mergeCell ref="AE58:AF58"/>
    <mergeCell ref="AG58:AH58"/>
    <mergeCell ref="AI58:AJ58"/>
    <mergeCell ref="Q58:R58"/>
    <mergeCell ref="S58:T58"/>
    <mergeCell ref="U58:V58"/>
    <mergeCell ref="W58:X58"/>
    <mergeCell ref="Y58:Z58"/>
    <mergeCell ref="AA58:AB58"/>
    <mergeCell ref="AC58:AD58"/>
  </mergeCells>
  <hyperlinks>
    <hyperlink r:id="rId1" ref="A60"/>
    <hyperlink r:id="rId2" ref="A61"/>
    <hyperlink r:id="rId3" ref="A62"/>
    <hyperlink r:id="rId4" ref="A63"/>
    <hyperlink r:id="rId5" ref="A64"/>
    <hyperlink r:id="rId6" ref="A65"/>
    <hyperlink r:id="rId7" ref="A66"/>
    <hyperlink r:id="rId8" ref="A71"/>
    <hyperlink r:id="rId9" ref="A72"/>
    <hyperlink r:id="rId10" ref="A73"/>
    <hyperlink r:id="rId11" ref="A74"/>
    <hyperlink r:id="rId12" ref="A75"/>
    <hyperlink r:id="rId13" ref="A76"/>
    <hyperlink r:id="rId14" ref="A77"/>
    <hyperlink r:id="rId15" ref="A82"/>
    <hyperlink r:id="rId16" ref="A83"/>
    <hyperlink r:id="rId17" ref="A84"/>
    <hyperlink r:id="rId18" ref="A85"/>
    <hyperlink r:id="rId19" ref="A86"/>
    <hyperlink r:id="rId20" ref="A87"/>
    <hyperlink r:id="rId21" ref="A88"/>
  </hyperlinks>
  <printOptions/>
  <pageMargins bottom="0.75" footer="0.0" header="0.0" left="0.7" right="0.7" top="0.75"/>
  <pageSetup paperSize="9" orientation="portrait"/>
  <drawing r:id="rId2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2017-11-22T10:19:40Z</dcterms:created>
  <dc:creator>RePack by Diakov</dc:creator>
</cp:coreProperties>
</file>
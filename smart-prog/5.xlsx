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T53KomddG0dKIIjgCtSDMoQMa2pGcwps68xZVnElN8="/>
    </ext>
  </extLst>
</workbook>
</file>

<file path=xl/sharedStrings.xml><?xml version="1.0" encoding="utf-8"?>
<sst xmlns="http://schemas.openxmlformats.org/spreadsheetml/2006/main" count="542" uniqueCount="139">
  <si>
    <r>
      <rPr>
        <rFont val="Calibri"/>
        <b/>
        <color theme="1"/>
        <sz val="14.0"/>
      </rPr>
      <t xml:space="preserve">Правила для </t>
    </r>
    <r>
      <rPr>
        <rFont val="Calibri"/>
        <b/>
        <color rgb="FF1E4E79"/>
        <sz val="14.0"/>
      </rPr>
      <t>Силовой</t>
    </r>
    <r>
      <rPr>
        <rFont val="Calibri"/>
        <b/>
        <color theme="1"/>
        <sz val="14.0"/>
      </rPr>
      <t xml:space="preserve"> тренировки: </t>
    </r>
  </si>
  <si>
    <r>
      <rPr>
        <rFont val="Calibri"/>
        <b/>
        <color theme="1"/>
        <sz val="14.0"/>
      </rPr>
      <t>РАЗМИНКА ПЕРЕД ТРЕНИРОВКОЙ</t>
    </r>
    <r>
      <rPr>
        <rFont val="Calibri"/>
        <color theme="1"/>
        <sz val="14.0"/>
      </rPr>
      <t>:</t>
    </r>
  </si>
  <si>
    <t>Каждая тренировка начинается с суставной гимнастики - необходимо в течение 5-10 минут разогреть все суставы (выполнить вращательные, сгибательные и разгибательные движения всеми доступными частями тела) - уделить особое внимание плечевому суставу, позвоночнику, коленям</t>
  </si>
  <si>
    <t xml:space="preserve">Затем нам необходимо выполнить 8-10 минут кардио со средним уровнем интенсивности чтобы слегка повысить пульс и разогреться </t>
  </si>
  <si>
    <t>Теперь можно переходить к первому упражнению</t>
  </si>
  <si>
    <t xml:space="preserve">В каждом упражнении делаем от 1 до 4,5 или даже 6 разминочных подходов перед рабочим весом (чем больше рабочий вес - тем больше подходов необходимо чтобы подготовить тело). </t>
  </si>
  <si>
    <t>В упражнениях с маленьким весом в качестве разминки достаточно взять 50% от рабочего веса и медленно поработать на 8-10 повторений в одном подходе (не закисляясь)</t>
  </si>
  <si>
    <t>Чем больше рабочий вес, тем больше требуется разминочных подходов перед рабочим весом, при этом во время разминки не делать большого кол-ва повторений, чтобы не закисляться (1х6, 1х5, 1х4, 1х2, 1х1)</t>
  </si>
  <si>
    <t xml:space="preserve">Например если приседания 120 кг, то понадобится сделать 20*6, 50*5, 70*4, 90*2, 110*1, а только затем рабочий вес (делать большие шаги в увеличении веса после 50%ПМ травмоопасно - 10-20 кг оптимальный шаг) </t>
  </si>
  <si>
    <t>ПОДГОТОВИТЕЛЬНЫЙ ПЕРИОД 1-3 НЕДЕЛЯ:</t>
  </si>
  <si>
    <t>Это подготовительный период, который отведён для того чтобы освоить технику упражнений или чтобы нейро-мышечная связь могла их вспомнить (в случае если они уже вам были знакомы), а также с целью плавного входа в тренировочный процесс</t>
  </si>
  <si>
    <r>
      <rPr>
        <rFont val="Calibri"/>
        <color theme="1"/>
        <sz val="14.0"/>
      </rPr>
      <t>В данном периоде мы работаем с весами, которые указаны в таблице</t>
    </r>
    <r>
      <rPr>
        <rFont val="Calibri"/>
        <b/>
        <color theme="1"/>
        <sz val="14.0"/>
      </rPr>
      <t xml:space="preserve"> </t>
    </r>
    <r>
      <rPr>
        <rFont val="Calibri"/>
        <color theme="1"/>
        <sz val="14.0"/>
      </rPr>
      <t xml:space="preserve">- как правило это </t>
    </r>
    <r>
      <rPr>
        <rFont val="Calibri"/>
        <b/>
        <color theme="1"/>
        <sz val="14.0"/>
      </rPr>
      <t xml:space="preserve">12ПМ </t>
    </r>
    <r>
      <rPr>
        <rFont val="Calibri"/>
        <color theme="1"/>
        <sz val="14.0"/>
      </rPr>
      <t>(12-повторный максимум) и в количестве подходов и повторений, которые указаны в таблице</t>
    </r>
  </si>
  <si>
    <r>
      <rPr>
        <rFont val="Calibri"/>
        <color theme="1"/>
        <sz val="14.0"/>
      </rPr>
      <t>Например</t>
    </r>
    <r>
      <rPr>
        <rFont val="Calibri"/>
        <b/>
        <color theme="1"/>
        <sz val="14.0"/>
      </rPr>
      <t xml:space="preserve"> 12ПМ </t>
    </r>
    <r>
      <rPr>
        <rFont val="Calibri"/>
        <color theme="1"/>
        <sz val="14.0"/>
      </rPr>
      <t xml:space="preserve">это вес, который вы способны поднять максимум на 12 повторений в отказ и по таблице на первой неделе нам необходимо сделать с ним 2 подхода на 8 повторений </t>
    </r>
  </si>
  <si>
    <t xml:space="preserve">Поэтому мы делаем несколько разминочных подходов (если это необходимо - снова читаем про разминку выше) и потом выполняем 2 подхода на 8 повторений с весом, который мы способны сделать на 12 повторений в отказ </t>
  </si>
  <si>
    <t xml:space="preserve">В течение подготовительного периода мы подбираем рабочие веса по своим субъективным ощущениям (то есть выбираем подходящий вес на своё усмотрение) </t>
  </si>
  <si>
    <t>ТЕСТОВАЯ 4 НЕДЕЛЯ:</t>
  </si>
  <si>
    <t>Нам необходимо оценить свои силовые показатели, чтобы выявить рабочие веса для следующего периода</t>
  </si>
  <si>
    <r>
      <rPr>
        <rFont val="Calibri"/>
        <color theme="1"/>
        <sz val="14.0"/>
      </rPr>
      <t xml:space="preserve">Для этого нам необходимо протестировать все упражнения по 1 подходу в отказ и вписать результаты </t>
    </r>
    <r>
      <rPr>
        <rFont val="Calibri"/>
        <b/>
        <color theme="1"/>
        <sz val="14.0"/>
      </rPr>
      <t>рабочего веса</t>
    </r>
    <r>
      <rPr>
        <rFont val="Calibri"/>
        <color theme="1"/>
        <sz val="14.0"/>
      </rPr>
      <t xml:space="preserve"> и </t>
    </r>
    <r>
      <rPr>
        <rFont val="Calibri"/>
        <b/>
        <color theme="1"/>
        <sz val="14.0"/>
      </rPr>
      <t>количества повторений</t>
    </r>
    <r>
      <rPr>
        <rFont val="Calibri"/>
        <color theme="1"/>
        <sz val="14.0"/>
      </rPr>
      <t xml:space="preserve"> на тренировках в пустые колонки 4-ой недели по таблице</t>
    </r>
  </si>
  <si>
    <t>Как правильно это сделать?</t>
  </si>
  <si>
    <t xml:space="preserve">Необходимо провести качественную разминку с плавным выходом на приемлемый для нас рабочий вес и выполнить с ним один подход (выбираем рабочий вес, с которым получится сделать примерно от 4 до 7 повторений) </t>
  </si>
  <si>
    <t>Перед данным подходом после разминочных подходов нужно отдохнуть 5-8 минут</t>
  </si>
  <si>
    <r>
      <rPr>
        <rFont val="Calibri"/>
        <color theme="1"/>
        <sz val="14.0"/>
      </rPr>
      <t xml:space="preserve">В этом подходе необходимо выложиться на полную, но </t>
    </r>
    <r>
      <rPr>
        <rFont val="Calibri"/>
        <b/>
        <color theme="1"/>
        <sz val="14.0"/>
      </rPr>
      <t>абсолютно без нарушений техники и инерции</t>
    </r>
    <r>
      <rPr>
        <rFont val="Calibri"/>
        <color theme="1"/>
        <sz val="14.0"/>
      </rPr>
      <t xml:space="preserve"> и вписать в колонки </t>
    </r>
    <r>
      <rPr>
        <rFont val="Calibri"/>
        <b/>
        <color rgb="FF385623"/>
        <sz val="14.0"/>
      </rPr>
      <t>рабочий вес</t>
    </r>
    <r>
      <rPr>
        <rFont val="Calibri"/>
        <color theme="1"/>
        <sz val="14.0"/>
      </rPr>
      <t xml:space="preserve"> и </t>
    </r>
    <r>
      <rPr>
        <rFont val="Calibri"/>
        <b/>
        <color rgb="FF385623"/>
        <sz val="14.0"/>
      </rPr>
      <t>кол-во повторений</t>
    </r>
    <r>
      <rPr>
        <rFont val="Calibri"/>
        <color theme="1"/>
        <sz val="14.0"/>
      </rPr>
      <t>, которые мы смогли выполнить в этом подходе (Например "Жим гантелей по 20 кг на 6 раз")</t>
    </r>
  </si>
  <si>
    <t>В травмоопасных упражнениях, а также в тех, которые могут нас "придавить" это лучше сделать со страховкой (с напарником) или остановиться на 1 повторение раньше чем произойдёт отказ и также записать результат</t>
  </si>
  <si>
    <t>Необходимо всего лишь внести в таблицу результаты полученные  во время тестовой недели и программа рассчитает рабочие веса на следующий цикл до тестовой недели</t>
  </si>
  <si>
    <r>
      <rPr>
        <rFont val="Calibri"/>
        <color theme="1"/>
        <sz val="14.0"/>
      </rPr>
      <t xml:space="preserve">Например мы сделали "жим штанги лёжа" с весом 50 кг на 8 раз на максимум - вносим их в таблицу. </t>
    </r>
  </si>
  <si>
    <r>
      <rPr>
        <rFont val="Calibri"/>
        <b/>
        <i/>
        <color theme="1"/>
        <sz val="14.0"/>
      </rPr>
      <t>Уточнение</t>
    </r>
    <r>
      <rPr>
        <rFont val="Calibri"/>
        <i/>
        <color theme="1"/>
        <sz val="14.0"/>
      </rPr>
      <t xml:space="preserve">: в подтягиваниях нужно считать свой вес + вес отягощения или противовеса и их подставлять в ячейку  </t>
    </r>
  </si>
  <si>
    <t>В упражнениях с лёгким рабочим весом (менее 12 кг) подставляем вес двух гантелей, в упражнениях с большим рабочим весом подставляем вес одной гантели</t>
  </si>
  <si>
    <t>ПОДГОТОВИТЕЛЬНЫЙ ПЕРИОД</t>
  </si>
  <si>
    <t>ТЕСТОВАЯ НЕДЕЛЯ</t>
  </si>
  <si>
    <t xml:space="preserve">НАКОПЛЕНИЕ </t>
  </si>
  <si>
    <t xml:space="preserve">ТРАНСМУТАЦИЯ </t>
  </si>
  <si>
    <t xml:space="preserve">РЕАЛИЗАЦИЯ </t>
  </si>
  <si>
    <t>ИТОГОВАЯ НЕДЕЛЯ</t>
  </si>
  <si>
    <t>ПРОГРАММА ТРЕНИРОВОК:</t>
  </si>
  <si>
    <t>1 Неделя:</t>
  </si>
  <si>
    <t>2 Неделя:</t>
  </si>
  <si>
    <t>3 Неделя:</t>
  </si>
  <si>
    <t>4 Неделя:</t>
  </si>
  <si>
    <t>5 Неделя:</t>
  </si>
  <si>
    <t>6 Неделя:</t>
  </si>
  <si>
    <t>7 Неделя:</t>
  </si>
  <si>
    <t>8 Неделя:</t>
  </si>
  <si>
    <t>9 Неделя:</t>
  </si>
  <si>
    <t>10 Неделя:</t>
  </si>
  <si>
    <t>11 Неделя:</t>
  </si>
  <si>
    <t>12 Неделя:</t>
  </si>
  <si>
    <t>13 Неделя:</t>
  </si>
  <si>
    <t>14 Неделя:</t>
  </si>
  <si>
    <t>15 Неделя:</t>
  </si>
  <si>
    <t>Отдых 2-3 мин</t>
  </si>
  <si>
    <t xml:space="preserve">Отдых 5-8 мин </t>
  </si>
  <si>
    <t>Отдых 3-4 мин</t>
  </si>
  <si>
    <t>Отдых 5-8 мин</t>
  </si>
  <si>
    <t>1 день: (Силовая тренировка на всё тело)</t>
  </si>
  <si>
    <t>Альтернатива:</t>
  </si>
  <si>
    <t>Рабочий вес (кг)</t>
  </si>
  <si>
    <t>Подх x повт</t>
  </si>
  <si>
    <t>Количество повторений</t>
  </si>
  <si>
    <t>Жим штанги лёжа</t>
  </si>
  <si>
    <t>12ПМ</t>
  </si>
  <si>
    <t>2х8</t>
  </si>
  <si>
    <t>10ПМ</t>
  </si>
  <si>
    <t>3х8</t>
  </si>
  <si>
    <t>3х12</t>
  </si>
  <si>
    <t>4х8</t>
  </si>
  <si>
    <t>3х10</t>
  </si>
  <si>
    <t>4х6</t>
  </si>
  <si>
    <t>5x5</t>
  </si>
  <si>
    <t>4х3</t>
  </si>
  <si>
    <t>5х4</t>
  </si>
  <si>
    <t>3х2</t>
  </si>
  <si>
    <t>3х3</t>
  </si>
  <si>
    <t>1х1</t>
  </si>
  <si>
    <t>Становая тяга</t>
  </si>
  <si>
    <t>4х10</t>
  </si>
  <si>
    <t>3х6</t>
  </si>
  <si>
    <t>4x5</t>
  </si>
  <si>
    <t>4х4</t>
  </si>
  <si>
    <t>Жим платформы ногами</t>
  </si>
  <si>
    <t>4х5</t>
  </si>
  <si>
    <t>3x4</t>
  </si>
  <si>
    <t>Подъём штанги на бицепс</t>
  </si>
  <si>
    <t>15ПМ</t>
  </si>
  <si>
    <t>Сгибания ног в тренажёре (сидя/лёжа)</t>
  </si>
  <si>
    <t>3х15</t>
  </si>
  <si>
    <t>Экстензия</t>
  </si>
  <si>
    <t>Гудмонинг (Наклоны)</t>
  </si>
  <si>
    <t>собственный</t>
  </si>
  <si>
    <t>собственный +5 кг</t>
  </si>
  <si>
    <t>1х10</t>
  </si>
  <si>
    <t>собственный + 10 кг</t>
  </si>
  <si>
    <t>2 день: (Силовая тренировка на всё тело)</t>
  </si>
  <si>
    <t>Приседания со штангой</t>
  </si>
  <si>
    <t>Подтягивания</t>
  </si>
  <si>
    <t>Подтягивания в гравитроне / вертикальная тяга</t>
  </si>
  <si>
    <t>Жим гантелей лёжа на наклонной скамье 30-40 градусов</t>
  </si>
  <si>
    <t>Лицевая тяга блока</t>
  </si>
  <si>
    <t>Махи с гантелями в наклоне / разведения в Пек-Деке</t>
  </si>
  <si>
    <t>Махи с гантелями в стороны</t>
  </si>
  <si>
    <t>Разгибания ног сидя</t>
  </si>
  <si>
    <t>3 день: (Силовая тренировка на всё тело)</t>
  </si>
  <si>
    <t>Армейский жим</t>
  </si>
  <si>
    <t>Жим штанги сидя</t>
  </si>
  <si>
    <t>Тяга штанги в наклоне</t>
  </si>
  <si>
    <t>4х12</t>
  </si>
  <si>
    <t>Выпады с гантелями</t>
  </si>
  <si>
    <t>Выпады со штангой</t>
  </si>
  <si>
    <t>Разгибания рук на блоке</t>
  </si>
  <si>
    <t>Тяга горизонтального блока к поясу</t>
  </si>
  <si>
    <t>Скручивания для пресса</t>
  </si>
  <si>
    <t>ОТДЫХ И ВОССТАНОВЛЕНИЕ</t>
  </si>
  <si>
    <t>Оптимальная частота тренировок - три раза в неделю</t>
  </si>
  <si>
    <t>Во время выполнения разминочных подходов отдых может составлять 1,5-2 минуты, между рабочими подходами на мышечную группу в зависимости от недели (сверху каждого периода подписано время отдыха)</t>
  </si>
  <si>
    <t>Это лишь примерные сроки восстановления между подходами и зависеть они будут больше от рабочих весов и упражнений (тяжёлые могут занять больше времени для отдыха, а упражнения для маленьких мышечных групп гораздо меньше времени)</t>
  </si>
  <si>
    <t xml:space="preserve">Чтобы сэкономить время тренировки можно выполнять упражнения парами (то есть одновременно 2 упражнения) - при этом можно сократить отдых между подходами по 3-4 минуты потому что мышечные группы будут чередоваться </t>
  </si>
  <si>
    <t>Во время блока "Реализации" продолжительность тренировки значительно меньше и выполнять упражнения стоит только по отдельности</t>
  </si>
  <si>
    <t>План кардио:</t>
  </si>
  <si>
    <t xml:space="preserve">Подставьте свой возраст в ячейку чтобы рассчитать максимальную ЧСС: </t>
  </si>
  <si>
    <t>Максимальная ЧСС (100%)</t>
  </si>
  <si>
    <t>Недели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</si>
  <si>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</si>
  <si>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</si>
  <si>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</si>
  <si>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</si>
  <si>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</si>
  <si>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</si>
  <si>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</si>
  <si>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</si>
  <si>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>Неделя 9</t>
  </si>
  <si>
    <t>Неделя 10</t>
  </si>
  <si>
    <t>Неделя 11</t>
  </si>
  <si>
    <t>Неделя 12</t>
  </si>
  <si>
    <t>Пульсовая зона (в % от максимального ЧСС)</t>
  </si>
  <si>
    <t>50-60%</t>
  </si>
  <si>
    <t>60-70%</t>
  </si>
  <si>
    <t>70-80%</t>
  </si>
  <si>
    <t>Количество кардио в неделю</t>
  </si>
  <si>
    <t>Время кардио-сессии</t>
  </si>
  <si>
    <t>Активность стараемся поддерживать на уровне 10 000 шагов в день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</si>
</sst>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sz val="14.0"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i/>
      <sz val="14.0"/>
      <color theme="1"/>
      <name val="Calibri"/>
    </font>
    <font>
      <sz val="12.0"/>
      <color theme="1"/>
      <name val="Calibri"/>
    </font>
    <font/>
    <font>
      <b/>
      <sz val="14.0"/>
      <color rgb="FF000000"/>
      <name val="Arial"/>
    </font>
    <font>
      <u/>
      <sz val="14.0"/>
      <color theme="10"/>
      <name val="Calibri"/>
    </font>
    <font>
      <u/>
      <sz val="14.0"/>
      <color theme="10"/>
      <name val="Calibri"/>
    </font>
    <font>
      <u/>
      <sz val="14.0"/>
      <color theme="1"/>
      <name val="Calibri"/>
    </font>
    <font>
      <u/>
      <sz val="14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2" fontId="3" numFmtId="0" xfId="0" applyAlignment="1" applyBorder="1" applyFill="1" applyFont="1">
      <alignment horizontal="center"/>
    </xf>
    <xf borderId="2" fillId="0" fontId="9" numFmtId="0" xfId="0" applyBorder="1" applyFont="1"/>
    <xf borderId="3" fillId="0" fontId="9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4" fillId="4" fontId="3" numFmtId="0" xfId="0" applyAlignment="1" applyBorder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7" fillId="2" fontId="3" numFmtId="0" xfId="0" applyAlignment="1" applyBorder="1" applyFont="1">
      <alignment horizontal="center"/>
    </xf>
    <xf borderId="8" fillId="0" fontId="9" numFmtId="0" xfId="0" applyBorder="1" applyFont="1"/>
    <xf borderId="7" fillId="3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0" fillId="0" fontId="3" numFmtId="0" xfId="0" applyAlignment="1" applyFont="1">
      <alignment horizontal="center"/>
    </xf>
    <xf borderId="12" fillId="0" fontId="3" numFmtId="0" xfId="0" applyBorder="1" applyFont="1"/>
    <xf borderId="12" fillId="0" fontId="5" numFmtId="0" xfId="0" applyBorder="1" applyFont="1"/>
    <xf borderId="0" fillId="0" fontId="10" numFmtId="0" xfId="0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11" numFmtId="0" xfId="0" applyFont="1"/>
    <xf borderId="12" fillId="0" fontId="2" numFmtId="0" xfId="0" applyBorder="1" applyFont="1"/>
    <xf borderId="16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2" fillId="5" fontId="5" numFmtId="0" xfId="0" applyBorder="1" applyFill="1" applyFont="1"/>
    <xf borderId="12" fillId="5" fontId="5" numFmtId="0" xfId="0" applyAlignment="1" applyBorder="1" applyFont="1">
      <alignment readingOrder="0"/>
    </xf>
    <xf borderId="20" fillId="5" fontId="5" numFmtId="0" xfId="0" applyBorder="1" applyFont="1"/>
    <xf borderId="13" fillId="0" fontId="2" numFmtId="0" xfId="0" applyBorder="1" applyFont="1"/>
    <xf borderId="21" fillId="0" fontId="5" numFmtId="0" xfId="0" applyAlignment="1" applyBorder="1" applyFont="1">
      <alignment readingOrder="0"/>
    </xf>
    <xf borderId="22" fillId="0" fontId="5" numFmtId="0" xfId="0" applyBorder="1" applyFont="1"/>
    <xf borderId="12" fillId="0" fontId="5" numFmtId="0" xfId="0" applyAlignment="1" applyBorder="1" applyFont="1">
      <alignment readingOrder="0"/>
    </xf>
    <xf borderId="23" fillId="5" fontId="5" numFmtId="0" xfId="0" applyBorder="1" applyFont="1"/>
    <xf borderId="12" fillId="0" fontId="12" numFmtId="0" xfId="0" applyBorder="1" applyFont="1"/>
    <xf borderId="18" fillId="0" fontId="3" numFmtId="0" xfId="0" applyBorder="1" applyFont="1"/>
    <xf borderId="16" fillId="0" fontId="5" numFmtId="0" xfId="0" applyBorder="1" applyFont="1"/>
    <xf borderId="6" fillId="0" fontId="5" numFmtId="0" xfId="0" applyBorder="1" applyFont="1"/>
    <xf borderId="1" fillId="0" fontId="5" numFmtId="0" xfId="0" applyBorder="1" applyFont="1"/>
    <xf borderId="21" fillId="0" fontId="5" numFmtId="0" xfId="0" applyBorder="1" applyFont="1"/>
    <xf borderId="21" fillId="0" fontId="3" numFmtId="0" xfId="0" applyBorder="1" applyFont="1"/>
    <xf borderId="17" fillId="0" fontId="3" numFmtId="0" xfId="0" applyBorder="1" applyFont="1"/>
    <xf borderId="13" fillId="0" fontId="5" numFmtId="0" xfId="0" applyBorder="1" applyFont="1"/>
    <xf borderId="18" fillId="0" fontId="13" numFmtId="0" xfId="0" applyBorder="1" applyFont="1"/>
    <xf borderId="0" fillId="0" fontId="14" numFmtId="0" xfId="0" applyAlignment="1" applyFont="1">
      <alignment readingOrder="0" shrinkToFit="0" vertical="bottom" wrapText="0"/>
    </xf>
    <xf borderId="18" fillId="0" fontId="2" numFmtId="0" xfId="0" applyBorder="1" applyFont="1"/>
    <xf borderId="12" fillId="0" fontId="1" numFmtId="0" xfId="0" applyBorder="1" applyFont="1"/>
    <xf borderId="1" fillId="0" fontId="1" numFmtId="0" xfId="0" applyBorder="1" applyFont="1"/>
    <xf borderId="3" fillId="0" fontId="2" numFmtId="0" xfId="0" applyBorder="1" applyFont="1"/>
    <xf borderId="17" fillId="0" fontId="1" numFmtId="0" xfId="0" applyBorder="1" applyFont="1"/>
    <xf borderId="13" fillId="0" fontId="1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33</xdr:row>
      <xdr:rowOff>171450</xdr:rowOff>
    </xdr:from>
    <xdr:ext cx="12858750" cy="86677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oosty.to/yetiblog/posts/483887e1-4039-4652-8b67-29a1ec04321c?share=post_link" TargetMode="External"/><Relationship Id="rId10" Type="http://schemas.openxmlformats.org/officeDocument/2006/relationships/hyperlink" Target="https://boosty.to/yetiblog/posts/98ec8354-1fe5-4150-87ef-78fd464a27d1?share=post_link" TargetMode="External"/><Relationship Id="rId13" Type="http://schemas.openxmlformats.org/officeDocument/2006/relationships/hyperlink" Target="https://boosty.to/yetiblog/posts/1133be33-0ded-4e25-b874-986b4f44888a?share=post_link" TargetMode="External"/><Relationship Id="rId12" Type="http://schemas.openxmlformats.org/officeDocument/2006/relationships/hyperlink" Target="https://boosty.to/yetiblog/posts/c47444c0-6e25-48df-8510-8c4e7a64c973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2" Type="http://schemas.openxmlformats.org/officeDocument/2006/relationships/hyperlink" Target="https://boosty.to/yetiblog/posts/31b0c7c9-8a65-4d69-a61b-e7b52acad96b?share=post_link" TargetMode="External"/><Relationship Id="rId3" Type="http://schemas.openxmlformats.org/officeDocument/2006/relationships/hyperlink" Target="https://boosty.to/yetiblog/posts/cf196b35-5c75-423b-8470-99fd876e45d8?share=post_link" TargetMode="External"/><Relationship Id="rId4" Type="http://schemas.openxmlformats.org/officeDocument/2006/relationships/hyperlink" Target="https://boosty.to/yetiblog/posts/81382241-e99b-4410-ab93-9119ffb8bb27?share=post_link" TargetMode="External"/><Relationship Id="rId9" Type="http://schemas.openxmlformats.org/officeDocument/2006/relationships/hyperlink" Target="https://boosty.to/yetiblog/posts/971e14fa-f43e-4b17-9a17-6ebf921eca89?share=post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boosty.to/yetiblog/posts/27920553-8831-48fb-a9f3-9db8710de97e?share=post_link" TargetMode="External"/><Relationship Id="rId5" Type="http://schemas.openxmlformats.org/officeDocument/2006/relationships/hyperlink" Target="https://boosty.to/yetiblog/posts/7f4113d3-c740-427f-a7f3-fe0bc846a758?share=post_link" TargetMode="External"/><Relationship Id="rId6" Type="http://schemas.openxmlformats.org/officeDocument/2006/relationships/hyperlink" Target="https://boosty.to/yetiblog/posts/978677d6-0937-479b-91a4-36e8fff139cb?share=post_link" TargetMode="External"/><Relationship Id="rId7" Type="http://schemas.openxmlformats.org/officeDocument/2006/relationships/hyperlink" Target="https://boosty.to/yetiblog/posts/92c0e29f-339c-4893-91ea-8124e17e2721?share=post_link" TargetMode="External"/><Relationship Id="rId8" Type="http://schemas.openxmlformats.org/officeDocument/2006/relationships/hyperlink" Target="https://boosty.to/yetiblog/posts/6009bcd8-9ef8-4b6f-96b6-d263bd26dc38?share=post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5.57"/>
    <col customWidth="1" min="3" max="3" width="24.14"/>
    <col customWidth="1" min="4" max="4" width="26.29"/>
    <col customWidth="1" min="5" max="5" width="17.71"/>
    <col customWidth="1" min="6" max="6" width="12.86"/>
    <col customWidth="1" min="7" max="7" width="20.43"/>
    <col customWidth="1" min="8" max="8" width="14.71"/>
    <col customWidth="1" min="9" max="9" width="18.86"/>
    <col customWidth="1" min="10" max="10" width="14.71"/>
    <col customWidth="1" min="11" max="11" width="25.29"/>
    <col customWidth="1" min="12" max="12" width="24.57"/>
    <col customWidth="1" min="13" max="13" width="18.43"/>
    <col customWidth="1" min="14" max="14" width="12.43"/>
    <col customWidth="1" min="15" max="15" width="19.57"/>
    <col customWidth="1" min="16" max="16" width="14.14"/>
    <col customWidth="1" min="17" max="17" width="22.0"/>
    <col customWidth="1" min="18" max="18" width="16.14"/>
    <col customWidth="1" min="19" max="19" width="16.43"/>
    <col customWidth="1" min="20" max="20" width="23.0"/>
    <col customWidth="1" min="21" max="21" width="19.0"/>
    <col customWidth="1" min="22" max="22" width="19.29"/>
    <col customWidth="1" min="23" max="23" width="19.43"/>
    <col customWidth="1" min="24" max="24" width="16.14"/>
    <col customWidth="1" min="25" max="25" width="18.43"/>
    <col customWidth="1" min="26" max="26" width="24.86"/>
    <col customWidth="1" min="27" max="27" width="18.14"/>
    <col customWidth="1" min="28" max="28" width="19.29"/>
    <col customWidth="1" min="29" max="29" width="18.29"/>
    <col customWidth="1" min="30" max="30" width="20.43"/>
    <col customWidth="1" min="31" max="31" width="17.57"/>
    <col customWidth="1" min="32" max="32" width="19.14"/>
    <col customWidth="1" min="33" max="33" width="18.29"/>
    <col customWidth="1" min="34" max="34" width="22.57"/>
    <col customWidth="1" min="35" max="35" width="16.71"/>
    <col customWidth="1" min="36" max="36" width="25.0"/>
    <col customWidth="1" min="37" max="37" width="18.71"/>
    <col customWidth="1" min="38" max="38" width="23.57"/>
    <col customWidth="1" min="39" max="39" width="13.43"/>
    <col customWidth="1" min="40" max="47" width="8.71"/>
  </cols>
  <sheetData>
    <row r="2">
      <c r="A2" s="1" t="s">
        <v>0</v>
      </c>
    </row>
    <row r="3">
      <c r="A3" s="2"/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3" t="s">
        <v>7</v>
      </c>
    </row>
    <row r="11">
      <c r="A11" s="3" t="s">
        <v>8</v>
      </c>
    </row>
    <row r="12">
      <c r="A12" s="2"/>
    </row>
    <row r="13">
      <c r="A13" s="2"/>
    </row>
    <row r="14">
      <c r="A14" s="1" t="s">
        <v>9</v>
      </c>
    </row>
    <row r="15">
      <c r="A15" s="2" t="s">
        <v>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>
      <c r="A16" s="2" t="s">
        <v>11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" t="s">
        <v>12</v>
      </c>
    </row>
    <row r="18">
      <c r="A18" s="2" t="s">
        <v>13</v>
      </c>
    </row>
    <row r="19">
      <c r="A19" s="2" t="s">
        <v>14</v>
      </c>
      <c r="AJ19" s="4"/>
    </row>
    <row r="20">
      <c r="A20" s="2"/>
      <c r="AH20" s="4"/>
      <c r="AI20" s="4"/>
    </row>
    <row r="21" ht="15.75" customHeight="1">
      <c r="A21" s="2"/>
      <c r="AC21" s="4"/>
      <c r="AD21" s="4"/>
      <c r="AE21" s="4"/>
      <c r="AF21" s="4"/>
      <c r="AG21" s="4"/>
    </row>
    <row r="22" ht="15.75" customHeight="1">
      <c r="A22" s="1" t="s">
        <v>15</v>
      </c>
    </row>
    <row r="23" ht="15.75" customHeight="1">
      <c r="A23" s="5" t="s">
        <v>16</v>
      </c>
      <c r="B23" s="6"/>
      <c r="C23" s="6"/>
      <c r="D23" s="6"/>
      <c r="R23" s="4"/>
      <c r="S23" s="4"/>
      <c r="T23" s="4"/>
      <c r="U23" s="4"/>
      <c r="V23" s="4"/>
      <c r="AA23" s="4"/>
      <c r="AB23" s="4"/>
    </row>
    <row r="24" ht="15.75" customHeight="1">
      <c r="A24" s="2" t="s">
        <v>17</v>
      </c>
    </row>
    <row r="25" ht="15.75" customHeight="1">
      <c r="A25" s="1" t="s">
        <v>18</v>
      </c>
      <c r="E25" s="6"/>
      <c r="F25" s="6"/>
      <c r="G25" s="6"/>
      <c r="H25" s="6"/>
      <c r="I25" s="6"/>
    </row>
    <row r="26" ht="15.75" customHeight="1">
      <c r="A26" s="2" t="s">
        <v>19</v>
      </c>
    </row>
    <row r="27" ht="15.75" customHeight="1">
      <c r="A27" s="3" t="s">
        <v>20</v>
      </c>
    </row>
    <row r="28" ht="15.75" customHeight="1">
      <c r="A28" s="2" t="s">
        <v>21</v>
      </c>
      <c r="N28" s="4"/>
      <c r="O28" s="4"/>
      <c r="P28" s="4"/>
      <c r="Q28" s="4"/>
      <c r="R28" s="4"/>
      <c r="S28" s="4"/>
      <c r="T28" s="4"/>
      <c r="U28" s="4"/>
    </row>
    <row r="29" ht="15.75" customHeight="1">
      <c r="A29" s="2" t="s">
        <v>22</v>
      </c>
    </row>
    <row r="30" ht="18.75" customHeight="1">
      <c r="A30" s="7" t="s">
        <v>23</v>
      </c>
    </row>
    <row r="31" ht="18.75" customHeight="1">
      <c r="A31" s="2" t="s">
        <v>24</v>
      </c>
    </row>
    <row r="32" ht="15.75" customHeight="1">
      <c r="A32" s="8" t="s">
        <v>25</v>
      </c>
    </row>
    <row r="33" ht="15.75" customHeight="1">
      <c r="A33" s="8" t="s">
        <v>26</v>
      </c>
    </row>
    <row r="34" ht="15.75" customHeight="1"/>
    <row r="35" ht="15.75" customHeight="1"/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O40" s="6"/>
      <c r="P40" s="6"/>
      <c r="Q40" s="6"/>
    </row>
    <row r="41" ht="15.75" customHeight="1"/>
    <row r="42" ht="15.75" customHeight="1"/>
    <row r="43" ht="15.75" customHeight="1">
      <c r="A43" s="6"/>
      <c r="E43" s="10" t="s">
        <v>27</v>
      </c>
      <c r="F43" s="11"/>
      <c r="G43" s="11"/>
      <c r="H43" s="11"/>
      <c r="I43" s="11"/>
      <c r="J43" s="12"/>
      <c r="K43" s="13" t="s">
        <v>28</v>
      </c>
      <c r="L43" s="12"/>
      <c r="M43" s="14" t="s">
        <v>29</v>
      </c>
      <c r="N43" s="11"/>
      <c r="O43" s="11"/>
      <c r="P43" s="11"/>
      <c r="Q43" s="11"/>
      <c r="R43" s="11"/>
      <c r="S43" s="11"/>
      <c r="T43" s="12"/>
      <c r="U43" s="14" t="s">
        <v>30</v>
      </c>
      <c r="V43" s="11"/>
      <c r="W43" s="11"/>
      <c r="X43" s="11"/>
      <c r="Y43" s="11"/>
      <c r="Z43" s="11"/>
      <c r="AA43" s="11"/>
      <c r="AB43" s="12"/>
      <c r="AC43" s="14" t="s">
        <v>31</v>
      </c>
      <c r="AD43" s="11"/>
      <c r="AE43" s="11"/>
      <c r="AF43" s="11"/>
      <c r="AG43" s="11"/>
      <c r="AH43" s="12"/>
      <c r="AI43" s="15" t="s">
        <v>32</v>
      </c>
      <c r="AJ43" s="16"/>
      <c r="AK43" s="16"/>
      <c r="AL43" s="17"/>
      <c r="AM43" s="6"/>
    </row>
    <row r="44" ht="15.75" customHeight="1">
      <c r="A44" s="7" t="s">
        <v>33</v>
      </c>
      <c r="B44" s="6"/>
      <c r="E44" s="18" t="s">
        <v>34</v>
      </c>
      <c r="F44" s="19"/>
      <c r="G44" s="18" t="s">
        <v>35</v>
      </c>
      <c r="H44" s="19"/>
      <c r="I44" s="18" t="s">
        <v>36</v>
      </c>
      <c r="J44" s="19"/>
      <c r="K44" s="20" t="s">
        <v>37</v>
      </c>
      <c r="L44" s="19"/>
      <c r="M44" s="21" t="s">
        <v>38</v>
      </c>
      <c r="N44" s="19"/>
      <c r="O44" s="21" t="s">
        <v>39</v>
      </c>
      <c r="P44" s="19"/>
      <c r="Q44" s="21" t="s">
        <v>40</v>
      </c>
      <c r="R44" s="19"/>
      <c r="S44" s="21" t="s">
        <v>41</v>
      </c>
      <c r="T44" s="19"/>
      <c r="U44" s="21" t="s">
        <v>42</v>
      </c>
      <c r="V44" s="19"/>
      <c r="W44" s="21" t="s">
        <v>43</v>
      </c>
      <c r="X44" s="19"/>
      <c r="Y44" s="21" t="s">
        <v>44</v>
      </c>
      <c r="Z44" s="19"/>
      <c r="AA44" s="21" t="s">
        <v>45</v>
      </c>
      <c r="AB44" s="19"/>
      <c r="AC44" s="21" t="s">
        <v>46</v>
      </c>
      <c r="AD44" s="19"/>
      <c r="AE44" s="21" t="s">
        <v>47</v>
      </c>
      <c r="AF44" s="19"/>
      <c r="AG44" s="21" t="s">
        <v>48</v>
      </c>
      <c r="AH44" s="19"/>
      <c r="AI44" s="22"/>
      <c r="AJ44" s="23"/>
      <c r="AK44" s="23"/>
      <c r="AL44" s="24"/>
      <c r="AM44" s="25"/>
      <c r="AN44" s="25"/>
      <c r="AO44" s="25"/>
    </row>
    <row r="45" ht="15.75" customHeight="1">
      <c r="A45" s="6"/>
      <c r="E45" s="26" t="s">
        <v>49</v>
      </c>
      <c r="F45" s="26"/>
      <c r="G45" s="26" t="s">
        <v>49</v>
      </c>
      <c r="H45" s="26"/>
      <c r="I45" s="26" t="s">
        <v>49</v>
      </c>
      <c r="J45" s="26"/>
      <c r="K45" s="26" t="s">
        <v>50</v>
      </c>
      <c r="L45" s="26"/>
      <c r="M45" s="26" t="s">
        <v>51</v>
      </c>
      <c r="N45" s="26"/>
      <c r="O45" s="26" t="s">
        <v>51</v>
      </c>
      <c r="P45" s="26"/>
      <c r="Q45" s="26" t="s">
        <v>51</v>
      </c>
      <c r="R45" s="26"/>
      <c r="S45" s="26" t="s">
        <v>51</v>
      </c>
      <c r="T45" s="26"/>
      <c r="U45" s="26" t="s">
        <v>52</v>
      </c>
      <c r="V45" s="26"/>
      <c r="W45" s="26" t="s">
        <v>52</v>
      </c>
      <c r="X45" s="26"/>
      <c r="Y45" s="26" t="s">
        <v>52</v>
      </c>
      <c r="Z45" s="26"/>
      <c r="AA45" s="26" t="s">
        <v>52</v>
      </c>
      <c r="AB45" s="26"/>
      <c r="AC45" s="26" t="s">
        <v>51</v>
      </c>
      <c r="AD45" s="26"/>
      <c r="AE45" s="26" t="s">
        <v>52</v>
      </c>
      <c r="AF45" s="26"/>
      <c r="AG45" s="26" t="s">
        <v>51</v>
      </c>
      <c r="AH45" s="26"/>
      <c r="AI45" s="26" t="s">
        <v>51</v>
      </c>
      <c r="AJ45" s="27"/>
      <c r="AK45" s="26" t="s">
        <v>52</v>
      </c>
      <c r="AL45" s="27"/>
      <c r="AM45" s="25"/>
      <c r="AN45" s="25"/>
      <c r="AO45" s="25"/>
    </row>
    <row r="46" ht="15.75" customHeight="1">
      <c r="A46" s="28" t="s">
        <v>53</v>
      </c>
      <c r="B46" s="2"/>
      <c r="C46" s="1" t="s">
        <v>54</v>
      </c>
      <c r="E46" s="29" t="s">
        <v>55</v>
      </c>
      <c r="F46" s="29" t="s">
        <v>56</v>
      </c>
      <c r="G46" s="29" t="s">
        <v>55</v>
      </c>
      <c r="H46" s="29" t="s">
        <v>56</v>
      </c>
      <c r="I46" s="29" t="s">
        <v>55</v>
      </c>
      <c r="J46" s="29" t="s">
        <v>56</v>
      </c>
      <c r="K46" s="29" t="s">
        <v>55</v>
      </c>
      <c r="L46" s="30" t="s">
        <v>57</v>
      </c>
      <c r="M46" s="29" t="s">
        <v>55</v>
      </c>
      <c r="N46" s="29" t="s">
        <v>56</v>
      </c>
      <c r="O46" s="29" t="s">
        <v>55</v>
      </c>
      <c r="P46" s="29" t="s">
        <v>56</v>
      </c>
      <c r="Q46" s="29" t="s">
        <v>55</v>
      </c>
      <c r="R46" s="29" t="s">
        <v>56</v>
      </c>
      <c r="S46" s="29" t="s">
        <v>55</v>
      </c>
      <c r="T46" s="29" t="s">
        <v>57</v>
      </c>
      <c r="U46" s="29" t="s">
        <v>55</v>
      </c>
      <c r="V46" s="29" t="s">
        <v>56</v>
      </c>
      <c r="W46" s="29" t="s">
        <v>55</v>
      </c>
      <c r="X46" s="29" t="s">
        <v>56</v>
      </c>
      <c r="Y46" s="29" t="s">
        <v>55</v>
      </c>
      <c r="Z46" s="29" t="s">
        <v>56</v>
      </c>
      <c r="AA46" s="29" t="s">
        <v>55</v>
      </c>
      <c r="AB46" s="29" t="s">
        <v>57</v>
      </c>
      <c r="AC46" s="29" t="s">
        <v>55</v>
      </c>
      <c r="AD46" s="29" t="s">
        <v>56</v>
      </c>
      <c r="AE46" s="29" t="s">
        <v>55</v>
      </c>
      <c r="AF46" s="29" t="s">
        <v>56</v>
      </c>
      <c r="AG46" s="29" t="s">
        <v>55</v>
      </c>
      <c r="AH46" s="31" t="s">
        <v>56</v>
      </c>
      <c r="AI46" s="30" t="s">
        <v>55</v>
      </c>
      <c r="AJ46" s="30" t="s">
        <v>57</v>
      </c>
      <c r="AK46" s="30" t="s">
        <v>55</v>
      </c>
      <c r="AL46" s="30" t="s">
        <v>57</v>
      </c>
      <c r="AM46" s="4"/>
      <c r="AN46" s="4"/>
      <c r="AO46" s="4"/>
    </row>
    <row r="47" ht="15.75" customHeight="1">
      <c r="A47" s="32" t="s">
        <v>58</v>
      </c>
      <c r="B47" s="33"/>
      <c r="C47" s="33"/>
      <c r="D47" s="27"/>
      <c r="E47" s="26" t="s">
        <v>59</v>
      </c>
      <c r="F47" s="27" t="s">
        <v>60</v>
      </c>
      <c r="G47" s="26" t="s">
        <v>61</v>
      </c>
      <c r="H47" s="27" t="s">
        <v>62</v>
      </c>
      <c r="I47" s="26" t="s">
        <v>61</v>
      </c>
      <c r="J47" s="27" t="s">
        <v>60</v>
      </c>
      <c r="K47" s="34"/>
      <c r="L47" s="35"/>
      <c r="M47" s="36">
        <f>CEILING((100*K47)/(101.3-2.67123*L47)*0.6,2.5)</f>
        <v>0</v>
      </c>
      <c r="N47" s="27" t="s">
        <v>63</v>
      </c>
      <c r="O47" s="27">
        <f t="shared" ref="O47:O48" si="1">CEILING((100*K47)/(101.3-2.67123*L47)*0.7,2.5)</f>
        <v>0</v>
      </c>
      <c r="P47" s="27" t="s">
        <v>64</v>
      </c>
      <c r="Q47" s="27">
        <f t="shared" ref="Q47:Q48" si="2">CEILING((100*K47)/(101.3-2.67123*L47)*0.65,2.5)</f>
        <v>0</v>
      </c>
      <c r="R47" s="27" t="s">
        <v>65</v>
      </c>
      <c r="S47" s="27">
        <f t="shared" ref="S47:S48" si="3">CEILING((100*K47)/(101.3-2.67123*L47)*0.75,2.5)</f>
        <v>0</v>
      </c>
      <c r="T47" s="27" t="s">
        <v>66</v>
      </c>
      <c r="U47" s="36">
        <f t="shared" ref="U47:U48" si="4">CEILING((100*K47)/(101.3-2.67123*L47)*0.725,2.5)</f>
        <v>0</v>
      </c>
      <c r="V47" s="27" t="s">
        <v>67</v>
      </c>
      <c r="W47" s="27">
        <f t="shared" ref="W47:W48" si="5">CEILING((100*K47)/(101.3-2.67123*L47)*0.85,2.5)</f>
        <v>0</v>
      </c>
      <c r="X47" s="27" t="s">
        <v>68</v>
      </c>
      <c r="Y47" s="27">
        <f t="shared" ref="Y47:Y48" si="6">CEILING((100*K47)/(101.3-2.67123*L47)*0.8,2.5)</f>
        <v>0</v>
      </c>
      <c r="Z47" s="27" t="s">
        <v>69</v>
      </c>
      <c r="AA47" s="27">
        <f t="shared" ref="AA47:AA48" si="7">CEILING((100*K47)/(101.3-2.67123*L47)*0.9,2.5)</f>
        <v>0</v>
      </c>
      <c r="AB47" s="37" t="s">
        <v>70</v>
      </c>
      <c r="AC47" s="37">
        <f t="shared" ref="AC47:AC48" si="8">CEILING((100*K47)/(101.3-2.67123*(L47))*0.6,2.5)</f>
        <v>0</v>
      </c>
      <c r="AD47" s="37" t="s">
        <v>64</v>
      </c>
      <c r="AE47" s="37">
        <f>CEILING((100*K47)/(101.3-2.67123*(L47+1))*0.825,2.5)</f>
        <v>0</v>
      </c>
      <c r="AF47" s="37" t="s">
        <v>71</v>
      </c>
      <c r="AG47" s="37">
        <f t="shared" ref="AG47:AG48" si="9">CEILING((100*K47)/(101.3-2.67123*(L47+1))*0.55,2.5)</f>
        <v>0</v>
      </c>
      <c r="AH47" s="38" t="s">
        <v>62</v>
      </c>
      <c r="AI47" s="39">
        <f t="shared" ref="AI47:AI48" si="10">CEILING((100*K47)/(101.3-2.67123*L47)*0.85,2.5)</f>
        <v>0</v>
      </c>
      <c r="AJ47" s="39" t="s">
        <v>72</v>
      </c>
      <c r="AK47" s="39">
        <f t="shared" ref="AK47:AK48" si="11">CEILING((100*K47)/(101.3-2.67123*L47)*0.95,2.5)</f>
        <v>0</v>
      </c>
      <c r="AL47" s="40"/>
      <c r="AM47" s="6"/>
      <c r="AN47" s="6"/>
      <c r="AO47" s="6"/>
    </row>
    <row r="48" ht="15.75" customHeight="1">
      <c r="A48" s="32" t="s">
        <v>73</v>
      </c>
      <c r="B48" s="33"/>
      <c r="C48" s="32"/>
      <c r="D48" s="27"/>
      <c r="E48" s="26" t="s">
        <v>59</v>
      </c>
      <c r="F48" s="27" t="s">
        <v>60</v>
      </c>
      <c r="G48" s="26" t="s">
        <v>61</v>
      </c>
      <c r="H48" s="27" t="s">
        <v>62</v>
      </c>
      <c r="I48" s="26" t="s">
        <v>61</v>
      </c>
      <c r="J48" s="27" t="s">
        <v>60</v>
      </c>
      <c r="K48" s="34"/>
      <c r="L48" s="35"/>
      <c r="M48" s="36">
        <f>CEILING((100*K48)/(101.3-2.67123*L48)*0.625,2.5)</f>
        <v>0</v>
      </c>
      <c r="N48" s="27" t="s">
        <v>74</v>
      </c>
      <c r="O48" s="27">
        <f t="shared" si="1"/>
        <v>0</v>
      </c>
      <c r="P48" s="27" t="s">
        <v>62</v>
      </c>
      <c r="Q48" s="27">
        <f t="shared" si="2"/>
        <v>0</v>
      </c>
      <c r="R48" s="27" t="s">
        <v>65</v>
      </c>
      <c r="S48" s="27">
        <f t="shared" si="3"/>
        <v>0</v>
      </c>
      <c r="T48" s="27" t="s">
        <v>75</v>
      </c>
      <c r="U48" s="36">
        <f t="shared" si="4"/>
        <v>0</v>
      </c>
      <c r="V48" s="27" t="s">
        <v>76</v>
      </c>
      <c r="W48" s="27">
        <f t="shared" si="5"/>
        <v>0</v>
      </c>
      <c r="X48" s="27" t="s">
        <v>68</v>
      </c>
      <c r="Y48" s="27">
        <f t="shared" si="6"/>
        <v>0</v>
      </c>
      <c r="Z48" s="27" t="s">
        <v>77</v>
      </c>
      <c r="AA48" s="38">
        <f t="shared" si="7"/>
        <v>0</v>
      </c>
      <c r="AB48" s="37" t="s">
        <v>70</v>
      </c>
      <c r="AC48" s="27">
        <f t="shared" si="8"/>
        <v>0</v>
      </c>
      <c r="AD48" s="27" t="s">
        <v>62</v>
      </c>
      <c r="AE48" s="27">
        <f>CEILING((100*K48)/(101.3-2.67123*(L48+1))*0.85,2.5)</f>
        <v>0</v>
      </c>
      <c r="AF48" s="27" t="s">
        <v>71</v>
      </c>
      <c r="AG48" s="27">
        <f t="shared" si="9"/>
        <v>0</v>
      </c>
      <c r="AH48" s="27" t="s">
        <v>66</v>
      </c>
      <c r="AI48" s="41">
        <f t="shared" si="10"/>
        <v>0</v>
      </c>
      <c r="AJ48" s="39" t="s">
        <v>72</v>
      </c>
      <c r="AK48" s="39">
        <f t="shared" si="11"/>
        <v>0</v>
      </c>
      <c r="AL48" s="39"/>
      <c r="AM48" s="6"/>
      <c r="AN48" s="6"/>
      <c r="AO48" s="6"/>
    </row>
    <row r="49" ht="15.75" customHeight="1">
      <c r="A49" s="32" t="s">
        <v>78</v>
      </c>
      <c r="B49" s="42"/>
      <c r="C49" s="33"/>
      <c r="D49" s="27"/>
      <c r="E49" s="26" t="s">
        <v>59</v>
      </c>
      <c r="F49" s="27" t="s">
        <v>60</v>
      </c>
      <c r="G49" s="26" t="s">
        <v>61</v>
      </c>
      <c r="H49" s="27" t="s">
        <v>62</v>
      </c>
      <c r="I49" s="26" t="s">
        <v>61</v>
      </c>
      <c r="J49" s="27" t="s">
        <v>60</v>
      </c>
      <c r="K49" s="43"/>
      <c r="L49" s="43"/>
      <c r="M49" s="36">
        <f>CEILING((100*K49)/(101.3-2.67123*L49)*0.6,10)</f>
        <v>0</v>
      </c>
      <c r="N49" s="27" t="s">
        <v>74</v>
      </c>
      <c r="O49" s="27">
        <f>CEILING((100*K49)/(101.3-2.67123*L49)*0.7,10)</f>
        <v>0</v>
      </c>
      <c r="P49" s="27" t="s">
        <v>66</v>
      </c>
      <c r="Q49" s="27">
        <f>CEILING((100*K49)/(101.3-2.67123*L49)*0.65,10)</f>
        <v>0</v>
      </c>
      <c r="R49" s="27" t="s">
        <v>64</v>
      </c>
      <c r="S49" s="27">
        <f>CEILING((100*K49)/(101.3-2.67123*L49)*0.75,10)</f>
        <v>0</v>
      </c>
      <c r="T49" s="27" t="s">
        <v>66</v>
      </c>
      <c r="U49" s="27">
        <f>CEILING((100*K49)/(101.3-2.67123*L49)*0.7,10)</f>
        <v>0</v>
      </c>
      <c r="V49" s="27" t="s">
        <v>66</v>
      </c>
      <c r="W49" s="27">
        <f>CEILING((100*K49)/(101.3-2.67123*L49)*0.825,10)</f>
        <v>0</v>
      </c>
      <c r="X49" s="27" t="s">
        <v>79</v>
      </c>
      <c r="Y49" s="27">
        <f>CEILING((100*K49)/(101.3-2.67123*L49)*0.75,10)</f>
        <v>0</v>
      </c>
      <c r="Z49" s="44" t="s">
        <v>79</v>
      </c>
      <c r="AA49" s="27">
        <f>CEILING((100*K49)/(101.3-2.67123*L49)*0.85,10)</f>
        <v>0</v>
      </c>
      <c r="AB49" s="27" t="s">
        <v>80</v>
      </c>
      <c r="AC49" s="36">
        <f>CEILING((100*K49)/(101.3-2.67123*L49)*0.6,10)</f>
        <v>0</v>
      </c>
      <c r="AD49" s="27" t="s">
        <v>64</v>
      </c>
      <c r="AE49" s="27">
        <f>CEILING((100*K49)/(101.3-2.67123*L49)*0.8,10)</f>
        <v>0</v>
      </c>
      <c r="AF49" s="27" t="s">
        <v>77</v>
      </c>
      <c r="AG49" s="27">
        <f>CEILING((100*K49)/(101.3-2.67123*L49)*0.5,10)</f>
        <v>0</v>
      </c>
      <c r="AH49" s="27" t="s">
        <v>64</v>
      </c>
      <c r="AI49" s="27">
        <f>CEILING((100*K49)/(101.3-2.67123*L49)*0.85,2.5)</f>
        <v>0</v>
      </c>
      <c r="AJ49" s="45"/>
      <c r="AK49" s="46"/>
      <c r="AL49" s="46"/>
      <c r="AM49" s="6"/>
      <c r="AN49" s="6"/>
      <c r="AO49" s="6"/>
    </row>
    <row r="50" ht="15.75" customHeight="1">
      <c r="A50" s="47" t="s">
        <v>81</v>
      </c>
      <c r="B50" s="33"/>
      <c r="C50" s="33"/>
      <c r="D50" s="27"/>
      <c r="E50" s="26" t="s">
        <v>82</v>
      </c>
      <c r="F50" s="27" t="s">
        <v>60</v>
      </c>
      <c r="G50" s="26" t="s">
        <v>59</v>
      </c>
      <c r="H50" s="27" t="s">
        <v>62</v>
      </c>
      <c r="I50" s="48" t="s">
        <v>59</v>
      </c>
      <c r="J50" s="27" t="s">
        <v>60</v>
      </c>
      <c r="K50" s="49"/>
      <c r="L50" s="50"/>
      <c r="M50" s="36">
        <f>CEILING((100*K50)/(101.3-2.67123*L50)*0.625,2.5)</f>
        <v>0</v>
      </c>
      <c r="N50" s="27" t="s">
        <v>65</v>
      </c>
      <c r="O50" s="27">
        <f>CEILING((100*K50)/(101.3-2.67123*L50)*0.725,2.5)</f>
        <v>0</v>
      </c>
      <c r="P50" s="27" t="s">
        <v>66</v>
      </c>
      <c r="Q50" s="27">
        <f>CEILING((100*K50)/(101.3-2.67123*L50)*0.675,2.5)</f>
        <v>0</v>
      </c>
      <c r="R50" s="27" t="s">
        <v>62</v>
      </c>
      <c r="S50" s="27">
        <f>CEILING((100*K50)/(101.3-2.67123*L50)*0.775,2.5)</f>
        <v>0</v>
      </c>
      <c r="T50" s="27" t="s">
        <v>79</v>
      </c>
      <c r="U50" s="36">
        <f>CEILING((100*K50)/(101.3-2.67123*L50)*0.725,2.5)</f>
        <v>0</v>
      </c>
      <c r="V50" s="27" t="s">
        <v>76</v>
      </c>
      <c r="W50" s="27">
        <f>CEILING((100*K50)/(101.3-2.67123*L50)*0.825,2.5)</f>
        <v>0</v>
      </c>
      <c r="X50" s="27" t="s">
        <v>68</v>
      </c>
      <c r="Y50" s="27">
        <f>CEILING((100*K50)/(101.3-2.67123*L50)*0.775,2.5)</f>
        <v>0</v>
      </c>
      <c r="Z50" s="44" t="s">
        <v>69</v>
      </c>
      <c r="AA50" s="27">
        <f>CEILING((100*K50)/(101.3-2.67123*L50)*0.875,2.5)</f>
        <v>0</v>
      </c>
      <c r="AB50" s="27" t="s">
        <v>70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ht="15.75" customHeight="1">
      <c r="A51" s="32" t="s">
        <v>83</v>
      </c>
      <c r="B51" s="27"/>
      <c r="C51" s="27"/>
      <c r="D51" s="27"/>
      <c r="E51" s="26" t="s">
        <v>82</v>
      </c>
      <c r="F51" s="27" t="s">
        <v>60</v>
      </c>
      <c r="G51" s="26" t="s">
        <v>59</v>
      </c>
      <c r="H51" s="27" t="s">
        <v>62</v>
      </c>
      <c r="I51" s="26" t="s">
        <v>59</v>
      </c>
      <c r="J51" s="27" t="s">
        <v>60</v>
      </c>
      <c r="K51" s="51"/>
      <c r="L51" s="52"/>
      <c r="M51" s="36">
        <f>CEILING((100*K51)/(101.3-2.67123*L51)*0.5,5)</f>
        <v>0</v>
      </c>
      <c r="N51" s="27" t="s">
        <v>84</v>
      </c>
      <c r="O51" s="27">
        <f>CEILING((100*K51)/(101.3-2.67123*L51)*0.65,5)</f>
        <v>0</v>
      </c>
      <c r="P51" s="27" t="s">
        <v>65</v>
      </c>
      <c r="Q51" s="27">
        <f>CEILING((100*K51)/(101.3-2.67123*L51)*0.55,5)</f>
        <v>0</v>
      </c>
      <c r="R51" s="27" t="s">
        <v>63</v>
      </c>
      <c r="S51" s="27">
        <f>CEILING((100*K51)/(101.3-2.67123*L51)*0.7,5)</f>
        <v>0</v>
      </c>
      <c r="T51" s="27" t="s">
        <v>62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32" t="s">
        <v>85</v>
      </c>
      <c r="B52" s="33"/>
      <c r="C52" s="33" t="s">
        <v>86</v>
      </c>
      <c r="D52" s="27"/>
      <c r="E52" s="26" t="s">
        <v>87</v>
      </c>
      <c r="F52" s="27" t="s">
        <v>60</v>
      </c>
      <c r="G52" s="26" t="s">
        <v>87</v>
      </c>
      <c r="H52" s="27" t="s">
        <v>62</v>
      </c>
      <c r="I52" s="26" t="s">
        <v>87</v>
      </c>
      <c r="J52" s="27" t="s">
        <v>64</v>
      </c>
      <c r="K52" s="53" t="s">
        <v>88</v>
      </c>
      <c r="L52" s="52" t="s">
        <v>89</v>
      </c>
      <c r="M52" s="54" t="s">
        <v>88</v>
      </c>
      <c r="N52" s="27" t="s">
        <v>66</v>
      </c>
      <c r="O52" s="26" t="s">
        <v>87</v>
      </c>
      <c r="P52" s="27" t="s">
        <v>62</v>
      </c>
      <c r="Q52" s="26" t="s">
        <v>90</v>
      </c>
      <c r="R52" s="27" t="s">
        <v>75</v>
      </c>
      <c r="S52" s="26" t="s">
        <v>87</v>
      </c>
      <c r="T52" s="27" t="s">
        <v>65</v>
      </c>
      <c r="U52" s="6"/>
      <c r="V52" s="6"/>
      <c r="W52" s="6"/>
      <c r="X52" s="6"/>
      <c r="Y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ht="15.75" customHeight="1">
      <c r="AH53" s="6"/>
      <c r="AI53" s="6"/>
      <c r="AJ53" s="6"/>
      <c r="AK53" s="6"/>
      <c r="AL53" s="6"/>
      <c r="AM53" s="6"/>
      <c r="AN53" s="6"/>
      <c r="AO53" s="6"/>
    </row>
    <row r="54" ht="15.75" customHeight="1">
      <c r="A54" s="9"/>
      <c r="AL54" s="6"/>
      <c r="AM54" s="6"/>
      <c r="AN54" s="6"/>
      <c r="AO54" s="6"/>
    </row>
    <row r="55" ht="15.75" customHeight="1">
      <c r="A55" s="9"/>
      <c r="E55" s="26" t="s">
        <v>49</v>
      </c>
      <c r="F55" s="26"/>
      <c r="G55" s="26" t="s">
        <v>49</v>
      </c>
      <c r="H55" s="26"/>
      <c r="I55" s="26" t="s">
        <v>49</v>
      </c>
      <c r="J55" s="26"/>
      <c r="K55" s="26" t="s">
        <v>50</v>
      </c>
      <c r="L55" s="26"/>
      <c r="M55" s="26" t="s">
        <v>51</v>
      </c>
      <c r="N55" s="26"/>
      <c r="O55" s="26" t="s">
        <v>51</v>
      </c>
      <c r="P55" s="26"/>
      <c r="Q55" s="26" t="s">
        <v>51</v>
      </c>
      <c r="R55" s="26"/>
      <c r="S55" s="26" t="s">
        <v>51</v>
      </c>
      <c r="T55" s="26"/>
      <c r="U55" s="26" t="s">
        <v>52</v>
      </c>
      <c r="V55" s="26"/>
      <c r="W55" s="26" t="s">
        <v>52</v>
      </c>
      <c r="X55" s="26"/>
      <c r="Y55" s="26" t="s">
        <v>52</v>
      </c>
      <c r="Z55" s="26"/>
      <c r="AA55" s="26" t="s">
        <v>52</v>
      </c>
      <c r="AB55" s="26"/>
      <c r="AC55" s="26" t="s">
        <v>51</v>
      </c>
      <c r="AD55" s="26"/>
      <c r="AE55" s="26" t="s">
        <v>52</v>
      </c>
      <c r="AF55" s="26"/>
      <c r="AG55" s="26" t="s">
        <v>51</v>
      </c>
      <c r="AH55" s="26"/>
      <c r="AI55" s="26" t="s">
        <v>51</v>
      </c>
      <c r="AJ55" s="27"/>
      <c r="AK55" s="26" t="s">
        <v>52</v>
      </c>
      <c r="AL55" s="27"/>
      <c r="AM55" s="6"/>
      <c r="AN55" s="6"/>
      <c r="AO55" s="6"/>
      <c r="AP55" s="6"/>
      <c r="AQ55" s="6"/>
    </row>
    <row r="56" ht="15.75" customHeight="1">
      <c r="A56" s="28" t="s">
        <v>91</v>
      </c>
      <c r="B56" s="2"/>
      <c r="C56" s="1" t="s">
        <v>54</v>
      </c>
      <c r="E56" s="26" t="s">
        <v>55</v>
      </c>
      <c r="F56" s="26" t="s">
        <v>56</v>
      </c>
      <c r="G56" s="26" t="s">
        <v>55</v>
      </c>
      <c r="H56" s="26" t="s">
        <v>56</v>
      </c>
      <c r="I56" s="26" t="s">
        <v>55</v>
      </c>
      <c r="J56" s="26" t="s">
        <v>56</v>
      </c>
      <c r="K56" s="48" t="s">
        <v>55</v>
      </c>
      <c r="L56" s="48" t="s">
        <v>57</v>
      </c>
      <c r="M56" s="26" t="s">
        <v>55</v>
      </c>
      <c r="N56" s="26" t="s">
        <v>56</v>
      </c>
      <c r="O56" s="26" t="s">
        <v>55</v>
      </c>
      <c r="P56" s="26" t="s">
        <v>56</v>
      </c>
      <c r="Q56" s="26" t="s">
        <v>55</v>
      </c>
      <c r="R56" s="26" t="s">
        <v>56</v>
      </c>
      <c r="S56" s="26" t="s">
        <v>55</v>
      </c>
      <c r="T56" s="26" t="s">
        <v>57</v>
      </c>
      <c r="U56" s="26" t="s">
        <v>55</v>
      </c>
      <c r="V56" s="26" t="s">
        <v>56</v>
      </c>
      <c r="W56" s="26" t="s">
        <v>55</v>
      </c>
      <c r="X56" s="26" t="s">
        <v>56</v>
      </c>
      <c r="Y56" s="26" t="s">
        <v>55</v>
      </c>
      <c r="Z56" s="26" t="s">
        <v>56</v>
      </c>
      <c r="AA56" s="26" t="s">
        <v>55</v>
      </c>
      <c r="AB56" s="26" t="s">
        <v>57</v>
      </c>
      <c r="AC56" s="26" t="s">
        <v>55</v>
      </c>
      <c r="AD56" s="26" t="s">
        <v>56</v>
      </c>
      <c r="AE56" s="26" t="s">
        <v>55</v>
      </c>
      <c r="AF56" s="26" t="s">
        <v>56</v>
      </c>
      <c r="AG56" s="26" t="s">
        <v>55</v>
      </c>
      <c r="AH56" s="26" t="s">
        <v>56</v>
      </c>
      <c r="AI56" s="48" t="s">
        <v>55</v>
      </c>
      <c r="AJ56" s="48" t="s">
        <v>57</v>
      </c>
      <c r="AK56" s="48" t="s">
        <v>55</v>
      </c>
      <c r="AL56" s="48" t="s">
        <v>57</v>
      </c>
      <c r="AM56" s="6"/>
      <c r="AN56" s="6"/>
      <c r="AO56" s="6"/>
      <c r="AP56" s="6"/>
      <c r="AQ56" s="6"/>
    </row>
    <row r="57" ht="15.75" customHeight="1">
      <c r="A57" s="32" t="s">
        <v>92</v>
      </c>
      <c r="B57" s="33"/>
      <c r="C57" s="33"/>
      <c r="D57" s="27"/>
      <c r="E57" s="29" t="s">
        <v>59</v>
      </c>
      <c r="F57" s="55" t="s">
        <v>60</v>
      </c>
      <c r="G57" s="29" t="s">
        <v>61</v>
      </c>
      <c r="H57" s="27" t="s">
        <v>62</v>
      </c>
      <c r="I57" s="26" t="s">
        <v>61</v>
      </c>
      <c r="J57" s="55" t="s">
        <v>60</v>
      </c>
      <c r="K57" s="49"/>
      <c r="L57" s="50"/>
      <c r="M57" s="36">
        <f>CEILING((100*K57)/(101.3-2.67123*L57)*0.6,2.5)</f>
        <v>0</v>
      </c>
      <c r="N57" s="27" t="s">
        <v>63</v>
      </c>
      <c r="O57" s="27">
        <f>CEILING((100*K57)/(101.3-2.67123*L57)*0.7,2.5)</f>
        <v>0</v>
      </c>
      <c r="P57" s="27" t="s">
        <v>64</v>
      </c>
      <c r="Q57" s="27">
        <f>CEILING((100*K57)/(101.3-2.67123*L57)*0.65,2.5)</f>
        <v>0</v>
      </c>
      <c r="R57" s="27" t="s">
        <v>65</v>
      </c>
      <c r="S57" s="27">
        <f>CEILING((100*K57)/(101.3-2.67123*L57)*0.75,2.5)</f>
        <v>0</v>
      </c>
      <c r="T57" s="27" t="s">
        <v>66</v>
      </c>
      <c r="U57" s="36">
        <f>CEILING((100*K57)/(101.3-2.67123*L57)*0.725,2.5)</f>
        <v>0</v>
      </c>
      <c r="V57" s="27" t="s">
        <v>67</v>
      </c>
      <c r="W57" s="27">
        <f t="shared" ref="W57:W58" si="12">CEILING((100*K57)/(101.3-2.67123*L57)*0.85,2.5)</f>
        <v>0</v>
      </c>
      <c r="X57" s="27" t="s">
        <v>68</v>
      </c>
      <c r="Y57" s="27">
        <f t="shared" ref="Y57:Y58" si="13">CEILING((100*K57)/(101.3-2.67123*L57)*0.8,2.5)</f>
        <v>0</v>
      </c>
      <c r="Z57" s="27" t="s">
        <v>69</v>
      </c>
      <c r="AA57" s="27">
        <f t="shared" ref="AA57:AA58" si="14">CEILING((100*K57)/(101.3-2.67123*L57)*0.9,2.5)</f>
        <v>0</v>
      </c>
      <c r="AB57" s="27" t="s">
        <v>70</v>
      </c>
      <c r="AC57" s="27">
        <f t="shared" ref="AC57:AC58" si="15">CEILING((100*K57)/(101.3-2.67123*(L57))*0.6,2.5)</f>
        <v>0</v>
      </c>
      <c r="AD57" s="27" t="s">
        <v>64</v>
      </c>
      <c r="AE57" s="27">
        <f t="shared" ref="AE57:AE58" si="16">CEILING((100*K57)/(101.3-2.67123*(L57+1))*0.825,2.5)</f>
        <v>0</v>
      </c>
      <c r="AF57" s="27" t="s">
        <v>68</v>
      </c>
      <c r="AG57" s="27">
        <f t="shared" ref="AG57:AG58" si="17">CEILING((100*K57)/(101.3-2.67123*(L57+1))*0.55,2.5)</f>
        <v>0</v>
      </c>
      <c r="AH57" s="38" t="s">
        <v>62</v>
      </c>
      <c r="AI57" s="39">
        <f t="shared" ref="AI57:AI58" si="18">CEILING((100*K57)/(101.3-2.67123*L57)*0.85,2.5)</f>
        <v>0</v>
      </c>
      <c r="AJ57" s="39" t="s">
        <v>72</v>
      </c>
      <c r="AK57" s="39">
        <f t="shared" ref="AK57:AK58" si="19">CEILING((100*K57)/(101.3-2.67123*L57)*0.95,2.5)</f>
        <v>0</v>
      </c>
      <c r="AL57" s="39"/>
      <c r="AM57" s="6"/>
      <c r="AN57" s="6"/>
      <c r="AO57" s="6"/>
      <c r="AP57" s="6"/>
      <c r="AQ57" s="6"/>
    </row>
    <row r="58" ht="15.75" customHeight="1">
      <c r="A58" s="32" t="s">
        <v>93</v>
      </c>
      <c r="B58" s="56"/>
      <c r="C58" s="32" t="s">
        <v>94</v>
      </c>
      <c r="D58" s="37"/>
      <c r="E58" s="26" t="s">
        <v>59</v>
      </c>
      <c r="F58" s="27" t="s">
        <v>60</v>
      </c>
      <c r="G58" s="29" t="s">
        <v>61</v>
      </c>
      <c r="H58" s="27" t="s">
        <v>62</v>
      </c>
      <c r="I58" s="26" t="s">
        <v>61</v>
      </c>
      <c r="J58" s="27" t="s">
        <v>60</v>
      </c>
      <c r="K58" s="49"/>
      <c r="L58" s="50"/>
      <c r="M58" s="36">
        <f>CEILING((100*K58)/(101.3-2.67123*L58)*0.65,2.5)</f>
        <v>0</v>
      </c>
      <c r="N58" s="27" t="s">
        <v>65</v>
      </c>
      <c r="O58" s="27">
        <f>CEILING((100*K58)/(101.3-2.67123*L58)*0.75,2.5)</f>
        <v>0</v>
      </c>
      <c r="P58" s="27" t="s">
        <v>66</v>
      </c>
      <c r="Q58" s="27">
        <f>CEILING((100*K58)/(101.3-2.67123*L58)*0.7,2.5)</f>
        <v>0</v>
      </c>
      <c r="R58" s="27" t="s">
        <v>62</v>
      </c>
      <c r="S58" s="27">
        <f>CEILING((100*K58)/(101.3-2.67123*L58)*0.8,2.5)</f>
        <v>0</v>
      </c>
      <c r="T58" s="27" t="s">
        <v>79</v>
      </c>
      <c r="U58" s="36">
        <f>CEILING((100*K58)/(101.3-2.67123*L58)*0.75,2.5)</f>
        <v>0</v>
      </c>
      <c r="V58" s="27" t="s">
        <v>67</v>
      </c>
      <c r="W58" s="27">
        <f t="shared" si="12"/>
        <v>0</v>
      </c>
      <c r="X58" s="27" t="s">
        <v>68</v>
      </c>
      <c r="Y58" s="27">
        <f t="shared" si="13"/>
        <v>0</v>
      </c>
      <c r="Z58" s="27" t="s">
        <v>69</v>
      </c>
      <c r="AA58" s="27">
        <f t="shared" si="14"/>
        <v>0</v>
      </c>
      <c r="AB58" s="27" t="s">
        <v>70</v>
      </c>
      <c r="AC58" s="27">
        <f t="shared" si="15"/>
        <v>0</v>
      </c>
      <c r="AD58" s="27" t="s">
        <v>64</v>
      </c>
      <c r="AE58" s="27">
        <f t="shared" si="16"/>
        <v>0</v>
      </c>
      <c r="AF58" s="27" t="s">
        <v>71</v>
      </c>
      <c r="AG58" s="44">
        <f t="shared" si="17"/>
        <v>0</v>
      </c>
      <c r="AH58" s="27" t="s">
        <v>62</v>
      </c>
      <c r="AI58" s="41">
        <f t="shared" si="18"/>
        <v>0</v>
      </c>
      <c r="AJ58" s="39" t="s">
        <v>72</v>
      </c>
      <c r="AK58" s="39">
        <f t="shared" si="19"/>
        <v>0</v>
      </c>
      <c r="AL58" s="39"/>
      <c r="AM58" s="6"/>
      <c r="AN58" s="6"/>
      <c r="AO58" s="6"/>
      <c r="AP58" s="6"/>
      <c r="AQ58" s="6"/>
    </row>
    <row r="59" ht="15.75" customHeight="1">
      <c r="A59" s="57" t="s">
        <v>95</v>
      </c>
      <c r="B59" s="33"/>
      <c r="C59" s="33"/>
      <c r="D59" s="27"/>
      <c r="E59" s="26" t="s">
        <v>59</v>
      </c>
      <c r="F59" s="27" t="s">
        <v>60</v>
      </c>
      <c r="G59" s="26" t="s">
        <v>61</v>
      </c>
      <c r="H59" s="27" t="s">
        <v>62</v>
      </c>
      <c r="I59" s="26" t="s">
        <v>61</v>
      </c>
      <c r="J59" s="27" t="s">
        <v>60</v>
      </c>
      <c r="K59" s="52"/>
      <c r="L59" s="52"/>
      <c r="M59" s="36">
        <f>CEILING((100*K59)/(101.3-2.67123*L59)*0.6,2)</f>
        <v>0</v>
      </c>
      <c r="N59" s="27" t="s">
        <v>65</v>
      </c>
      <c r="O59" s="27">
        <f>CEILING((100*K59)/(101.3-2.67123*L59)*0.7,2)</f>
        <v>0</v>
      </c>
      <c r="P59" s="27" t="s">
        <v>75</v>
      </c>
      <c r="Q59" s="27">
        <f>CEILING((100*K59)/(101.3-2.67123*L59)*0.65,2)</f>
        <v>0</v>
      </c>
      <c r="R59" s="27" t="s">
        <v>62</v>
      </c>
      <c r="S59" s="27">
        <f>CEILING((100*K59)/(101.3-2.67123*L59)*0.75,2)</f>
        <v>0</v>
      </c>
      <c r="T59" s="27" t="s">
        <v>75</v>
      </c>
      <c r="U59" s="27">
        <f>CEILING((100*K59)/(101.3-2.67123*L59)*0.7,2)</f>
        <v>0</v>
      </c>
      <c r="V59" s="27" t="s">
        <v>66</v>
      </c>
      <c r="W59" s="27">
        <f>CEILING((100*K59)/(101.3-2.67123*L59)*0.825,2)</f>
        <v>0</v>
      </c>
      <c r="X59" s="27" t="s">
        <v>79</v>
      </c>
      <c r="Y59" s="27">
        <f>CEILING((100*K59)/(101.3-2.67123*L59)*0.75,2)</f>
        <v>0</v>
      </c>
      <c r="Z59" s="27" t="s">
        <v>79</v>
      </c>
      <c r="AA59" s="27">
        <f>CEILING((100*K59)/(101.3-2.67123*L59)*0.85,2)</f>
        <v>0</v>
      </c>
      <c r="AB59" s="27" t="s">
        <v>80</v>
      </c>
      <c r="AC59" s="27">
        <f>CEILING((100*K59)/(101.3-2.67123*L59)*0.6,2)</f>
        <v>0</v>
      </c>
      <c r="AD59" s="27" t="s">
        <v>64</v>
      </c>
      <c r="AE59" s="27">
        <f>CEILING((100*K59)/(101.3-2.67123*L59)*0.8,2)</f>
        <v>0</v>
      </c>
      <c r="AF59" s="27" t="s">
        <v>77</v>
      </c>
      <c r="AG59" s="44">
        <f>CEILING((100*K59)/(101.3-2.67123*L59)*0.5,2)</f>
        <v>0</v>
      </c>
      <c r="AH59" s="27" t="s">
        <v>64</v>
      </c>
      <c r="AI59" s="27">
        <f>CEILING((100*K59)/(101.3-2.67123*L59)*0.85,2)</f>
        <v>0</v>
      </c>
      <c r="AJ59" s="27"/>
      <c r="AK59" s="6"/>
      <c r="AL59" s="46"/>
      <c r="AM59" s="6"/>
      <c r="AN59" s="6"/>
      <c r="AO59" s="6"/>
      <c r="AP59" s="6"/>
      <c r="AQ59" s="6"/>
    </row>
    <row r="60" ht="15.75" customHeight="1">
      <c r="A60" s="32" t="s">
        <v>96</v>
      </c>
      <c r="B60" s="58"/>
      <c r="C60" s="58" t="s">
        <v>97</v>
      </c>
      <c r="D60" s="37"/>
      <c r="E60" s="48" t="s">
        <v>82</v>
      </c>
      <c r="F60" s="37" t="s">
        <v>60</v>
      </c>
      <c r="G60" s="48" t="s">
        <v>59</v>
      </c>
      <c r="H60" s="38" t="s">
        <v>62</v>
      </c>
      <c r="I60" s="48" t="s">
        <v>59</v>
      </c>
      <c r="J60" s="38" t="s">
        <v>60</v>
      </c>
      <c r="K60" s="49"/>
      <c r="L60" s="50"/>
      <c r="M60" s="36">
        <f>CEILING((100*K60)/(101.3-2.67123*L60)*0.625,6)</f>
        <v>0</v>
      </c>
      <c r="N60" s="27" t="s">
        <v>65</v>
      </c>
      <c r="O60" s="27">
        <f>CEILING((100*K60)/(101.3-2.67123*L60)*0.725,6)</f>
        <v>0</v>
      </c>
      <c r="P60" s="27" t="s">
        <v>66</v>
      </c>
      <c r="Q60" s="27">
        <f>CEILING((100*K60)/(101.3-2.67123*L60)*0.675,6)</f>
        <v>0</v>
      </c>
      <c r="R60" s="27" t="s">
        <v>62</v>
      </c>
      <c r="S60" s="27">
        <f>CEILING((100*K60)/(101.3-2.67123*L60)*0.775,6)</f>
        <v>0</v>
      </c>
      <c r="T60" s="27" t="s">
        <v>79</v>
      </c>
      <c r="U60" s="36">
        <f>CEILING((100*K60)/(101.3-2.67123*L60)*0.725,6)</f>
        <v>0</v>
      </c>
      <c r="V60" s="27" t="s">
        <v>76</v>
      </c>
      <c r="W60" s="27">
        <f>CEILING((100*K60)/(101.3-2.67123*L60)*0.825,6)</f>
        <v>0</v>
      </c>
      <c r="X60" s="27" t="s">
        <v>68</v>
      </c>
      <c r="Y60" s="27">
        <f>CEILING((100*K60)/(101.3-2.67123*L60)*0.775,6)</f>
        <v>0</v>
      </c>
      <c r="Z60" s="44" t="s">
        <v>69</v>
      </c>
      <c r="AA60" s="27">
        <f>CEILING((100*K60)/(101.3-2.67123*L60)*0.875,6)</f>
        <v>0</v>
      </c>
      <c r="AB60" s="27" t="s">
        <v>70</v>
      </c>
      <c r="AC60" s="6"/>
      <c r="AD60" s="6"/>
      <c r="AE60" s="6"/>
      <c r="AF60" s="6"/>
      <c r="AG60" s="6"/>
      <c r="AH60" s="6"/>
      <c r="AI60" s="6"/>
      <c r="AJ60" s="6"/>
      <c r="AN60" s="4"/>
      <c r="AO60" s="6"/>
      <c r="AP60" s="6"/>
      <c r="AQ60" s="6"/>
    </row>
    <row r="61" ht="15.75" customHeight="1">
      <c r="A61" s="32" t="s">
        <v>98</v>
      </c>
      <c r="B61" s="33"/>
      <c r="C61" s="33"/>
      <c r="D61" s="27"/>
      <c r="E61" s="48" t="s">
        <v>82</v>
      </c>
      <c r="F61" s="27" t="s">
        <v>60</v>
      </c>
      <c r="G61" s="26" t="s">
        <v>59</v>
      </c>
      <c r="H61" s="27" t="s">
        <v>62</v>
      </c>
      <c r="I61" s="48" t="s">
        <v>59</v>
      </c>
      <c r="J61" s="27" t="s">
        <v>60</v>
      </c>
      <c r="K61" s="51"/>
      <c r="L61" s="52"/>
      <c r="M61" s="36">
        <f>CEILING((100*K61)/(101.3-2.67123*L61)*0.5,2)</f>
        <v>0</v>
      </c>
      <c r="N61" s="27" t="s">
        <v>84</v>
      </c>
      <c r="O61" s="27">
        <f>CEILING((100*K61)/(101.3-2.67123*L61)*0.65,2)</f>
        <v>0</v>
      </c>
      <c r="P61" s="27" t="s">
        <v>65</v>
      </c>
      <c r="Q61" s="27">
        <f>CEILING((100*K61)/(101.3-2.67123*L61)*0.55,2)</f>
        <v>0</v>
      </c>
      <c r="R61" s="27" t="s">
        <v>63</v>
      </c>
      <c r="S61" s="27">
        <f>CEILING((100*K61)/(101.3-2.67123*L61)*0.7,2)</f>
        <v>0</v>
      </c>
      <c r="T61" s="27" t="s">
        <v>62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4"/>
      <c r="AM61" s="6"/>
      <c r="AN61" s="6"/>
      <c r="AO61" s="6"/>
      <c r="AP61" s="6"/>
      <c r="AQ61" s="6"/>
    </row>
    <row r="62" ht="15.75" customHeight="1">
      <c r="A62" s="47" t="s">
        <v>99</v>
      </c>
      <c r="B62" s="27"/>
      <c r="C62" s="27"/>
      <c r="D62" s="27"/>
      <c r="E62" s="26" t="s">
        <v>82</v>
      </c>
      <c r="F62" s="27" t="s">
        <v>60</v>
      </c>
      <c r="G62" s="26" t="s">
        <v>59</v>
      </c>
      <c r="H62" s="27" t="s">
        <v>62</v>
      </c>
      <c r="I62" s="26" t="s">
        <v>59</v>
      </c>
      <c r="J62" s="44" t="s">
        <v>60</v>
      </c>
      <c r="K62" s="52"/>
      <c r="L62" s="52"/>
      <c r="M62" s="36">
        <f>CEILING((100*K62)/(101.3-2.67123*L62)*0.5,5)</f>
        <v>0</v>
      </c>
      <c r="N62" s="27" t="s">
        <v>84</v>
      </c>
      <c r="O62" s="27">
        <f>CEILING((100*K62)/(101.3-2.67123*L62)*0.65,5)</f>
        <v>0</v>
      </c>
      <c r="P62" s="27" t="s">
        <v>65</v>
      </c>
      <c r="Q62" s="27">
        <f>CEILING((100*K62)/(101.3-2.67123*L62)*0.55,5)</f>
        <v>0</v>
      </c>
      <c r="R62" s="27" t="s">
        <v>63</v>
      </c>
      <c r="S62" s="27">
        <f>CEILING((100*K62)/(101.3-2.67123*L62)*0.7,5)</f>
        <v>0</v>
      </c>
      <c r="T62" s="27" t="s">
        <v>62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P62" s="6"/>
      <c r="AQ62" s="6"/>
    </row>
    <row r="63" ht="15.75" customHeight="1">
      <c r="AG63" s="4"/>
      <c r="AH63" s="6"/>
      <c r="AI63" s="4"/>
      <c r="AJ63" s="6"/>
      <c r="AK63" s="6"/>
      <c r="AN63" s="6"/>
      <c r="AO63" s="6"/>
      <c r="AP63" s="6"/>
      <c r="AQ63" s="6"/>
    </row>
    <row r="64" ht="15.75" customHeight="1">
      <c r="AK64" s="6"/>
      <c r="AL64" s="6"/>
      <c r="AM64" s="6"/>
    </row>
    <row r="65" ht="15.75" customHeight="1">
      <c r="E65" s="26" t="s">
        <v>49</v>
      </c>
      <c r="F65" s="26"/>
      <c r="G65" s="26" t="s">
        <v>49</v>
      </c>
      <c r="H65" s="26"/>
      <c r="I65" s="26" t="s">
        <v>49</v>
      </c>
      <c r="J65" s="26"/>
      <c r="K65" s="26" t="s">
        <v>50</v>
      </c>
      <c r="L65" s="26"/>
      <c r="M65" s="26" t="s">
        <v>51</v>
      </c>
      <c r="N65" s="26"/>
      <c r="O65" s="26" t="s">
        <v>51</v>
      </c>
      <c r="P65" s="26"/>
      <c r="Q65" s="26" t="s">
        <v>51</v>
      </c>
      <c r="R65" s="26"/>
      <c r="S65" s="26" t="s">
        <v>51</v>
      </c>
      <c r="T65" s="26"/>
      <c r="U65" s="26" t="s">
        <v>52</v>
      </c>
      <c r="V65" s="26"/>
      <c r="W65" s="26" t="s">
        <v>52</v>
      </c>
      <c r="X65" s="26"/>
      <c r="Y65" s="26" t="s">
        <v>52</v>
      </c>
      <c r="Z65" s="26"/>
      <c r="AA65" s="26" t="s">
        <v>52</v>
      </c>
      <c r="AB65" s="26"/>
      <c r="AC65" s="26" t="s">
        <v>51</v>
      </c>
      <c r="AD65" s="26"/>
      <c r="AE65" s="26" t="s">
        <v>52</v>
      </c>
      <c r="AF65" s="26"/>
      <c r="AG65" s="26" t="s">
        <v>51</v>
      </c>
      <c r="AH65" s="26"/>
      <c r="AI65" s="26" t="s">
        <v>51</v>
      </c>
      <c r="AJ65" s="27"/>
      <c r="AK65" s="26" t="s">
        <v>52</v>
      </c>
      <c r="AL65" s="27"/>
      <c r="AN65" s="6"/>
      <c r="AO65" s="6"/>
      <c r="AP65" s="6"/>
      <c r="AQ65" s="6"/>
    </row>
    <row r="66" ht="15.75" customHeight="1">
      <c r="A66" s="28" t="s">
        <v>100</v>
      </c>
      <c r="B66" s="2"/>
      <c r="C66" s="1" t="s">
        <v>54</v>
      </c>
      <c r="E66" s="26" t="s">
        <v>55</v>
      </c>
      <c r="F66" s="26" t="s">
        <v>56</v>
      </c>
      <c r="G66" s="26" t="s">
        <v>55</v>
      </c>
      <c r="H66" s="26" t="s">
        <v>56</v>
      </c>
      <c r="I66" s="26" t="s">
        <v>55</v>
      </c>
      <c r="J66" s="26" t="s">
        <v>56</v>
      </c>
      <c r="K66" s="48" t="s">
        <v>55</v>
      </c>
      <c r="L66" s="48" t="s">
        <v>57</v>
      </c>
      <c r="M66" s="26" t="s">
        <v>55</v>
      </c>
      <c r="N66" s="26" t="s">
        <v>56</v>
      </c>
      <c r="O66" s="26" t="s">
        <v>55</v>
      </c>
      <c r="P66" s="26" t="s">
        <v>56</v>
      </c>
      <c r="Q66" s="26" t="s">
        <v>55</v>
      </c>
      <c r="R66" s="26" t="s">
        <v>56</v>
      </c>
      <c r="S66" s="26" t="s">
        <v>55</v>
      </c>
      <c r="T66" s="26" t="s">
        <v>57</v>
      </c>
      <c r="U66" s="26" t="s">
        <v>55</v>
      </c>
      <c r="V66" s="26" t="s">
        <v>56</v>
      </c>
      <c r="W66" s="26" t="s">
        <v>55</v>
      </c>
      <c r="X66" s="26" t="s">
        <v>56</v>
      </c>
      <c r="Y66" s="26" t="s">
        <v>55</v>
      </c>
      <c r="Z66" s="26" t="s">
        <v>56</v>
      </c>
      <c r="AA66" s="26" t="s">
        <v>55</v>
      </c>
      <c r="AB66" s="26" t="s">
        <v>57</v>
      </c>
      <c r="AC66" s="26" t="s">
        <v>55</v>
      </c>
      <c r="AD66" s="26" t="s">
        <v>56</v>
      </c>
      <c r="AE66" s="26" t="s">
        <v>55</v>
      </c>
      <c r="AF66" s="26" t="s">
        <v>56</v>
      </c>
      <c r="AG66" s="26" t="s">
        <v>55</v>
      </c>
      <c r="AH66" s="26" t="s">
        <v>56</v>
      </c>
      <c r="AI66" s="48" t="s">
        <v>55</v>
      </c>
      <c r="AJ66" s="48" t="s">
        <v>57</v>
      </c>
      <c r="AK66" s="48" t="s">
        <v>55</v>
      </c>
      <c r="AL66" s="48" t="s">
        <v>57</v>
      </c>
      <c r="AM66" s="6"/>
      <c r="AN66" s="6"/>
      <c r="AO66" s="6"/>
      <c r="AT66" s="6"/>
      <c r="AU66" s="6"/>
    </row>
    <row r="67" ht="15.75" customHeight="1">
      <c r="A67" s="32" t="s">
        <v>101</v>
      </c>
      <c r="B67" s="33"/>
      <c r="C67" s="33" t="s">
        <v>102</v>
      </c>
      <c r="D67" s="27"/>
      <c r="E67" s="26" t="s">
        <v>59</v>
      </c>
      <c r="F67" s="27" t="s">
        <v>60</v>
      </c>
      <c r="G67" s="29" t="s">
        <v>61</v>
      </c>
      <c r="H67" s="27" t="s">
        <v>62</v>
      </c>
      <c r="I67" s="26" t="s">
        <v>61</v>
      </c>
      <c r="J67" s="27" t="s">
        <v>60</v>
      </c>
      <c r="K67" s="49"/>
      <c r="L67" s="50"/>
      <c r="M67" s="36">
        <f>CEILING((100*K67)/(101.3-2.67123*L67)*0.625,2.5)</f>
        <v>0</v>
      </c>
      <c r="N67" s="27" t="s">
        <v>65</v>
      </c>
      <c r="O67" s="27">
        <f>CEILING((100*K67)/(101.3-2.67123*L67)*0.725,2.5)</f>
        <v>0</v>
      </c>
      <c r="P67" s="27" t="s">
        <v>66</v>
      </c>
      <c r="Q67" s="27">
        <f>CEILING((100*K67)/(101.3-2.67123*L67)*0.675,2.5)</f>
        <v>0</v>
      </c>
      <c r="R67" s="27" t="s">
        <v>62</v>
      </c>
      <c r="S67" s="27">
        <f>CEILING((100*K67)/(101.3-2.67123*L67)*0.775,2.5)</f>
        <v>0</v>
      </c>
      <c r="T67" s="27" t="s">
        <v>79</v>
      </c>
      <c r="U67" s="36">
        <f t="shared" ref="U67:U68" si="20">CEILING((100*K67)/(101.3-2.67123*L67)*0.725,2.5)</f>
        <v>0</v>
      </c>
      <c r="V67" s="27" t="s">
        <v>76</v>
      </c>
      <c r="W67" s="27">
        <f t="shared" ref="W67:W68" si="21">CEILING((100*K67)/(101.3-2.67123*L67)*0.85,2.5)</f>
        <v>0</v>
      </c>
      <c r="X67" s="27" t="s">
        <v>68</v>
      </c>
      <c r="Y67" s="27">
        <f t="shared" ref="Y67:Y68" si="22">CEILING((100*K67)/(101.3-2.67123*L67)*0.8,2.5)</f>
        <v>0</v>
      </c>
      <c r="Z67" s="27" t="s">
        <v>69</v>
      </c>
      <c r="AA67" s="27">
        <f t="shared" ref="AA67:AA68" si="23">CEILING((100*K67)/(101.3-2.67123*L67)*0.9,2.5)</f>
        <v>0</v>
      </c>
      <c r="AB67" s="27" t="s">
        <v>70</v>
      </c>
      <c r="AC67" s="27">
        <f t="shared" ref="AC67:AC68" si="24">CEILING((100*K67)/(101.3-2.67123*(L67))*0.6,2.5)</f>
        <v>0</v>
      </c>
      <c r="AD67" s="27" t="s">
        <v>64</v>
      </c>
      <c r="AE67" s="27">
        <f t="shared" ref="AE67:AE68" si="25">CEILING((100*K67)/(101.3-2.67123*(L67+1))*0.825,2.5)</f>
        <v>0</v>
      </c>
      <c r="AF67" s="27" t="s">
        <v>71</v>
      </c>
      <c r="AG67" s="27">
        <f t="shared" ref="AG67:AG68" si="26">CEILING((100*K67)/(101.3-2.67123*(L67+1))*0.55,2.5)</f>
        <v>0</v>
      </c>
      <c r="AH67" s="27" t="s">
        <v>62</v>
      </c>
      <c r="AI67" s="39">
        <f t="shared" ref="AI67:AI68" si="27">CEILING((100*K67)/(101.3-2.67123*L67)*0.85,2.5)</f>
        <v>0</v>
      </c>
      <c r="AJ67" s="39" t="s">
        <v>72</v>
      </c>
      <c r="AK67" s="39">
        <f t="shared" ref="AK67:AK68" si="28">CEILING((100*K67)/(101.3-2.67123*L67)*0.95,2.5)</f>
        <v>0</v>
      </c>
      <c r="AL67" s="39"/>
      <c r="AM67" s="6"/>
      <c r="AN67" s="6"/>
      <c r="AO67" s="6"/>
      <c r="AR67" s="6"/>
      <c r="AS67" s="6"/>
      <c r="AT67" s="6"/>
      <c r="AU67" s="6"/>
    </row>
    <row r="68" ht="15.75" customHeight="1">
      <c r="A68" s="32" t="s">
        <v>103</v>
      </c>
      <c r="B68" s="58"/>
      <c r="C68" s="58"/>
      <c r="D68" s="37"/>
      <c r="E68" s="26" t="s">
        <v>59</v>
      </c>
      <c r="F68" s="27" t="s">
        <v>60</v>
      </c>
      <c r="G68" s="29" t="s">
        <v>61</v>
      </c>
      <c r="H68" s="27" t="s">
        <v>62</v>
      </c>
      <c r="I68" s="26" t="s">
        <v>61</v>
      </c>
      <c r="J68" s="27" t="s">
        <v>60</v>
      </c>
      <c r="K68" s="49"/>
      <c r="L68" s="50"/>
      <c r="M68" s="36">
        <f>CEILING((100*K68)/(101.3-2.67123*L68)*0.6,2.5)</f>
        <v>0</v>
      </c>
      <c r="N68" s="27" t="s">
        <v>104</v>
      </c>
      <c r="O68" s="27">
        <f>CEILING((100*K68)/(101.3-2.67123*L68)*0.7,2.5)</f>
        <v>0</v>
      </c>
      <c r="P68" s="27" t="s">
        <v>64</v>
      </c>
      <c r="Q68" s="27">
        <f>CEILING((100*K68)/(101.3-2.67123*L68)*0.65,2.5)</f>
        <v>0</v>
      </c>
      <c r="R68" s="27" t="s">
        <v>74</v>
      </c>
      <c r="S68" s="27">
        <f>CEILING((100*K68)/(101.3-2.67123*L68)*0.75,2.5)</f>
        <v>0</v>
      </c>
      <c r="T68" s="27" t="s">
        <v>66</v>
      </c>
      <c r="U68" s="36">
        <f t="shared" si="20"/>
        <v>0</v>
      </c>
      <c r="V68" s="27" t="s">
        <v>67</v>
      </c>
      <c r="W68" s="27">
        <f t="shared" si="21"/>
        <v>0</v>
      </c>
      <c r="X68" s="27" t="s">
        <v>68</v>
      </c>
      <c r="Y68" s="27">
        <f t="shared" si="22"/>
        <v>0</v>
      </c>
      <c r="Z68" s="27" t="s">
        <v>69</v>
      </c>
      <c r="AA68" s="27">
        <f t="shared" si="23"/>
        <v>0</v>
      </c>
      <c r="AB68" s="27" t="s">
        <v>70</v>
      </c>
      <c r="AC68" s="27">
        <f t="shared" si="24"/>
        <v>0</v>
      </c>
      <c r="AD68" s="27" t="s">
        <v>64</v>
      </c>
      <c r="AE68" s="27">
        <f t="shared" si="25"/>
        <v>0</v>
      </c>
      <c r="AF68" s="27" t="s">
        <v>68</v>
      </c>
      <c r="AG68" s="27">
        <f t="shared" si="26"/>
        <v>0</v>
      </c>
      <c r="AH68" s="27" t="s">
        <v>62</v>
      </c>
      <c r="AI68" s="39">
        <f t="shared" si="27"/>
        <v>0</v>
      </c>
      <c r="AJ68" s="39" t="s">
        <v>72</v>
      </c>
      <c r="AK68" s="39">
        <f t="shared" si="28"/>
        <v>0</v>
      </c>
      <c r="AL68" s="39"/>
      <c r="AM68" s="6"/>
      <c r="AN68" s="6"/>
      <c r="AO68" s="6"/>
      <c r="AR68" s="6"/>
      <c r="AS68" s="6"/>
      <c r="AT68" s="6"/>
      <c r="AU68" s="6"/>
    </row>
    <row r="69" ht="15.75" customHeight="1">
      <c r="A69" s="47" t="s">
        <v>105</v>
      </c>
      <c r="B69" s="33"/>
      <c r="C69" s="33" t="s">
        <v>106</v>
      </c>
      <c r="D69" s="27"/>
      <c r="E69" s="26" t="s">
        <v>59</v>
      </c>
      <c r="F69" s="27" t="s">
        <v>60</v>
      </c>
      <c r="G69" s="29" t="s">
        <v>61</v>
      </c>
      <c r="H69" s="27" t="s">
        <v>62</v>
      </c>
      <c r="I69" s="26" t="s">
        <v>61</v>
      </c>
      <c r="J69" s="27" t="s">
        <v>60</v>
      </c>
      <c r="K69" s="52"/>
      <c r="L69" s="52"/>
      <c r="M69" s="36">
        <f>CEILING((100*K69)/(101.3-2.67123*L69)*0.6,2)</f>
        <v>0</v>
      </c>
      <c r="N69" s="27" t="s">
        <v>65</v>
      </c>
      <c r="O69" s="27">
        <f>CEILING((100*K69)/(101.3-2.67123*L69)*0.7,2)</f>
        <v>0</v>
      </c>
      <c r="P69" s="27" t="s">
        <v>75</v>
      </c>
      <c r="Q69" s="27">
        <f>CEILING((100*K69)/(101.3-2.67123*L69)*0.65,2)</f>
        <v>0</v>
      </c>
      <c r="R69" s="27" t="s">
        <v>62</v>
      </c>
      <c r="S69" s="27">
        <f>CEILING((100*K69)/(101.3-2.67123*L69)*0.75,2)</f>
        <v>0</v>
      </c>
      <c r="T69" s="27" t="s">
        <v>75</v>
      </c>
      <c r="U69" s="27">
        <f>CEILING((100*K69)/(101.3-2.67123*L69)*0.7,2)</f>
        <v>0</v>
      </c>
      <c r="V69" s="27" t="s">
        <v>66</v>
      </c>
      <c r="W69" s="27">
        <f>CEILING((100*K69)/(101.3-2.67123*L69)*0.825,2)</f>
        <v>0</v>
      </c>
      <c r="X69" s="27" t="s">
        <v>79</v>
      </c>
      <c r="Y69" s="27">
        <f>CEILING((100*K69)/(101.3-2.67123*L69)*0.75,2)</f>
        <v>0</v>
      </c>
      <c r="Z69" s="27" t="s">
        <v>79</v>
      </c>
      <c r="AA69" s="27">
        <f>CEILING((100*K69)/(101.3-2.67123*L69)*0.85,2)</f>
        <v>0</v>
      </c>
      <c r="AB69" s="27" t="s">
        <v>80</v>
      </c>
      <c r="AC69" s="27">
        <f>CEILING((100*K69)/(101.3-2.67123*L69)*0.6,2)</f>
        <v>0</v>
      </c>
      <c r="AD69" s="27" t="s">
        <v>64</v>
      </c>
      <c r="AE69" s="27">
        <f>CEILING((100*K69)/(101.3-2.67123*L69)*0.8,2)</f>
        <v>0</v>
      </c>
      <c r="AF69" s="27" t="s">
        <v>77</v>
      </c>
      <c r="AG69" s="27">
        <f>CEILING((100*K69)/(101.3-2.67123*L69)*0.5,2)</f>
        <v>0</v>
      </c>
      <c r="AH69" s="27" t="s">
        <v>64</v>
      </c>
      <c r="AI69" s="27">
        <f>CEILING((100*K69)/(101.3-2.67123*L69)*0.85,2)</f>
        <v>0</v>
      </c>
      <c r="AJ69" s="27"/>
      <c r="AK69" s="6"/>
      <c r="AL69" s="6"/>
      <c r="AM69" s="6"/>
      <c r="AN69" s="6"/>
      <c r="AO69" s="6"/>
      <c r="AR69" s="6"/>
      <c r="AS69" s="6"/>
      <c r="AT69" s="6"/>
      <c r="AU69" s="6"/>
    </row>
    <row r="70" ht="15.75" customHeight="1">
      <c r="A70" s="32" t="s">
        <v>107</v>
      </c>
      <c r="B70" s="33"/>
      <c r="C70" s="59"/>
      <c r="D70" s="27"/>
      <c r="E70" s="26" t="s">
        <v>82</v>
      </c>
      <c r="F70" s="27" t="s">
        <v>60</v>
      </c>
      <c r="G70" s="26" t="s">
        <v>59</v>
      </c>
      <c r="H70" s="44" t="s">
        <v>62</v>
      </c>
      <c r="I70" s="26" t="s">
        <v>59</v>
      </c>
      <c r="J70" s="27" t="s">
        <v>60</v>
      </c>
      <c r="K70" s="49"/>
      <c r="L70" s="50"/>
      <c r="M70" s="36">
        <f>CEILING((100*K70)/(101.3-2.67123*L70)*0.625,6)</f>
        <v>0</v>
      </c>
      <c r="N70" s="27" t="s">
        <v>65</v>
      </c>
      <c r="O70" s="27">
        <f>CEILING((100*K70)/(101.3-2.67123*L70)*0.725,6)</f>
        <v>0</v>
      </c>
      <c r="P70" s="27" t="s">
        <v>66</v>
      </c>
      <c r="Q70" s="27">
        <f>CEILING((100*K70)/(101.3-2.67123*L70)*0.675,6)</f>
        <v>0</v>
      </c>
      <c r="R70" s="27" t="s">
        <v>62</v>
      </c>
      <c r="S70" s="27">
        <f>CEILING((100*K70)/(101.3-2.67123*L70)*0.775,6)</f>
        <v>0</v>
      </c>
      <c r="T70" s="27" t="s">
        <v>79</v>
      </c>
      <c r="U70" s="36">
        <f>CEILING((100*K70)/(101.3-2.67123*L70)*0.725,6)</f>
        <v>0</v>
      </c>
      <c r="V70" s="27" t="s">
        <v>76</v>
      </c>
      <c r="W70" s="27">
        <f>CEILING((100*K70)/(101.3-2.67123*L70)*0.825,6)</f>
        <v>0</v>
      </c>
      <c r="X70" s="27" t="s">
        <v>68</v>
      </c>
      <c r="Y70" s="27">
        <f>CEILING((100*K70)/(101.3-2.67123*L70)*0.775,6)</f>
        <v>0</v>
      </c>
      <c r="Z70" s="44" t="s">
        <v>69</v>
      </c>
      <c r="AA70" s="27">
        <f>CEILING((100*K70)/(101.3-2.67123*L70)*0.875,6)</f>
        <v>0</v>
      </c>
      <c r="AB70" s="27" t="s">
        <v>70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R70" s="6"/>
      <c r="AS70" s="6"/>
      <c r="AT70" s="6"/>
      <c r="AU70" s="6"/>
    </row>
    <row r="71" ht="15.75" customHeight="1">
      <c r="A71" s="32" t="s">
        <v>108</v>
      </c>
      <c r="B71" s="42"/>
      <c r="C71" s="42"/>
      <c r="D71" s="55"/>
      <c r="E71" s="26" t="s">
        <v>82</v>
      </c>
      <c r="F71" s="27" t="s">
        <v>60</v>
      </c>
      <c r="G71" s="26" t="s">
        <v>59</v>
      </c>
      <c r="H71" s="27" t="s">
        <v>62</v>
      </c>
      <c r="I71" s="48" t="s">
        <v>59</v>
      </c>
      <c r="J71" s="44" t="s">
        <v>60</v>
      </c>
      <c r="K71" s="51"/>
      <c r="L71" s="52"/>
      <c r="M71" s="36">
        <f>CEILING((100*K71)/(101.3-2.67123*L71)*0.5,5)</f>
        <v>0</v>
      </c>
      <c r="N71" s="27" t="s">
        <v>84</v>
      </c>
      <c r="O71" s="27">
        <f>CEILING((100*K71)/(101.3-2.67123*L71)*0.65,5)</f>
        <v>0</v>
      </c>
      <c r="P71" s="27" t="s">
        <v>65</v>
      </c>
      <c r="Q71" s="27">
        <f>CEILING((100*K71)/(101.3-2.67123*L71)*0.55,5)</f>
        <v>0</v>
      </c>
      <c r="R71" s="27" t="s">
        <v>63</v>
      </c>
      <c r="S71" s="27">
        <f>CEILING((100*K71)/(101.3-2.67123*L71)*0.7,5)</f>
        <v>0</v>
      </c>
      <c r="T71" s="27" t="s">
        <v>62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R71" s="6"/>
      <c r="AS71" s="6"/>
      <c r="AT71" s="6"/>
      <c r="AU71" s="6"/>
    </row>
    <row r="72" ht="15.75" customHeight="1">
      <c r="A72" s="32" t="s">
        <v>109</v>
      </c>
      <c r="B72" s="33"/>
      <c r="C72" s="33"/>
      <c r="D72" s="27"/>
      <c r="E72" s="26" t="s">
        <v>87</v>
      </c>
      <c r="F72" s="27" t="s">
        <v>60</v>
      </c>
      <c r="G72" s="26" t="s">
        <v>87</v>
      </c>
      <c r="H72" s="27" t="s">
        <v>62</v>
      </c>
      <c r="I72" s="26" t="s">
        <v>87</v>
      </c>
      <c r="J72" s="44" t="s">
        <v>64</v>
      </c>
      <c r="K72" s="53" t="s">
        <v>88</v>
      </c>
      <c r="L72" s="52" t="s">
        <v>89</v>
      </c>
      <c r="M72" s="54" t="s">
        <v>88</v>
      </c>
      <c r="N72" s="27" t="s">
        <v>66</v>
      </c>
      <c r="O72" s="26" t="s">
        <v>87</v>
      </c>
      <c r="P72" s="27" t="s">
        <v>62</v>
      </c>
      <c r="Q72" s="26" t="s">
        <v>90</v>
      </c>
      <c r="R72" s="27" t="s">
        <v>75</v>
      </c>
      <c r="S72" s="26" t="s">
        <v>87</v>
      </c>
      <c r="T72" s="27" t="s">
        <v>65</v>
      </c>
      <c r="U72" s="4"/>
      <c r="V72" s="6"/>
      <c r="W72" s="4"/>
      <c r="X72" s="6"/>
      <c r="Y72" s="4"/>
      <c r="Z72" s="6"/>
      <c r="AA72" s="4"/>
      <c r="AB72" s="6"/>
      <c r="AC72" s="4"/>
      <c r="AD72" s="6"/>
      <c r="AE72" s="4"/>
      <c r="AF72" s="6"/>
      <c r="AG72" s="6"/>
      <c r="AH72" s="6"/>
      <c r="AI72" s="6"/>
      <c r="AJ72" s="6"/>
      <c r="AK72" s="6"/>
      <c r="AL72" s="6"/>
      <c r="AM72" s="6"/>
      <c r="AN72" s="6"/>
      <c r="AO72" s="6"/>
      <c r="AR72" s="6"/>
      <c r="AS72" s="6"/>
      <c r="AT72" s="6"/>
      <c r="AU72" s="6"/>
    </row>
    <row r="73" ht="15.75" customHeight="1">
      <c r="M73" s="6"/>
      <c r="N73" s="6"/>
      <c r="O73" s="6"/>
      <c r="P73" s="6"/>
      <c r="Q73" s="6"/>
      <c r="R73" s="6"/>
      <c r="S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R73" s="6"/>
      <c r="AS73" s="6"/>
      <c r="AT73" s="6"/>
      <c r="AU73" s="6"/>
    </row>
    <row r="74" ht="15.75" customHeight="1">
      <c r="AR74" s="6"/>
      <c r="AS74" s="6"/>
      <c r="AT74" s="6"/>
      <c r="AU74" s="6"/>
    </row>
    <row r="75" ht="15.75" customHeight="1">
      <c r="AR75" s="6"/>
      <c r="AS75" s="6"/>
      <c r="AT75" s="6"/>
      <c r="AU75" s="6"/>
    </row>
    <row r="76" ht="15.75" customHeight="1">
      <c r="A76" s="1" t="s">
        <v>110</v>
      </c>
      <c r="N76" s="6"/>
      <c r="O76" s="6"/>
      <c r="AR76" s="6"/>
      <c r="AS76" s="6"/>
    </row>
    <row r="77" ht="15.75" customHeight="1">
      <c r="A77" s="2" t="s">
        <v>111</v>
      </c>
      <c r="N77" s="6"/>
      <c r="O77" s="6"/>
      <c r="Q77" s="6"/>
      <c r="AK77" s="6"/>
      <c r="AL77" s="6"/>
      <c r="AM77" s="6"/>
      <c r="AN77" s="6"/>
      <c r="AO77" s="6"/>
    </row>
    <row r="78" ht="15.75" customHeight="1">
      <c r="A78" s="3" t="s">
        <v>112</v>
      </c>
      <c r="K78" s="6"/>
      <c r="L78" s="6"/>
      <c r="M78" s="6"/>
      <c r="N78" s="6"/>
      <c r="O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" t="s">
        <v>113</v>
      </c>
      <c r="K79" s="6"/>
      <c r="L79" s="6"/>
      <c r="M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" t="s">
        <v>114</v>
      </c>
      <c r="K80" s="6"/>
      <c r="L80" s="6"/>
      <c r="M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2" t="s">
        <v>115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K82" s="4"/>
      <c r="L82" s="6"/>
      <c r="M82" s="4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2"/>
      <c r="B83" s="6"/>
      <c r="C83" s="6"/>
      <c r="D83" s="6"/>
      <c r="E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7" t="s">
        <v>116</v>
      </c>
      <c r="N84" s="6"/>
      <c r="O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23.25" customHeight="1">
      <c r="A85" s="7" t="s">
        <v>117</v>
      </c>
      <c r="D85" s="6"/>
      <c r="E85" s="52"/>
      <c r="N85" s="6"/>
      <c r="O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24.0" customHeight="1">
      <c r="A86" s="7" t="s">
        <v>118</v>
      </c>
      <c r="C86" s="52">
        <f>220-E85</f>
        <v>220</v>
      </c>
      <c r="K86" s="6"/>
      <c r="L86" s="6"/>
      <c r="N86" s="6"/>
      <c r="O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K87" s="6"/>
      <c r="L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60" t="s">
        <v>119</v>
      </c>
      <c r="B88" s="61"/>
      <c r="C88" s="62" t="s">
        <v>120</v>
      </c>
      <c r="D88" s="59" t="s">
        <v>121</v>
      </c>
      <c r="E88" s="59" t="s">
        <v>122</v>
      </c>
      <c r="F88" s="59" t="s">
        <v>123</v>
      </c>
      <c r="G88" s="59" t="s">
        <v>124</v>
      </c>
      <c r="H88" s="59" t="s">
        <v>125</v>
      </c>
      <c r="I88" s="59" t="s">
        <v>126</v>
      </c>
      <c r="J88" s="59" t="s">
        <v>127</v>
      </c>
      <c r="K88" s="59" t="s">
        <v>128</v>
      </c>
      <c r="L88" s="62" t="s">
        <v>129</v>
      </c>
      <c r="M88" s="59" t="s">
        <v>130</v>
      </c>
      <c r="N88" s="59" t="s">
        <v>131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63" t="s">
        <v>132</v>
      </c>
      <c r="B89" s="42"/>
      <c r="C89" s="64" t="s">
        <v>133</v>
      </c>
      <c r="D89" s="33" t="s">
        <v>134</v>
      </c>
      <c r="E89" s="33" t="s">
        <v>133</v>
      </c>
      <c r="F89" s="33" t="s">
        <v>134</v>
      </c>
      <c r="G89" s="33" t="s">
        <v>134</v>
      </c>
      <c r="H89" s="33" t="s">
        <v>134</v>
      </c>
      <c r="I89" s="64" t="s">
        <v>133</v>
      </c>
      <c r="J89" s="33" t="s">
        <v>135</v>
      </c>
      <c r="K89" s="33" t="s">
        <v>134</v>
      </c>
      <c r="L89" s="33" t="s">
        <v>134</v>
      </c>
      <c r="M89" s="64" t="s">
        <v>133</v>
      </c>
      <c r="N89" s="33" t="s">
        <v>134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59" t="s">
        <v>136</v>
      </c>
      <c r="B90" s="33"/>
      <c r="C90" s="33">
        <v>3.0</v>
      </c>
      <c r="D90" s="33">
        <v>3.0</v>
      </c>
      <c r="E90" s="33">
        <v>2.0</v>
      </c>
      <c r="F90" s="33">
        <v>2.0</v>
      </c>
      <c r="G90" s="33">
        <v>3.0</v>
      </c>
      <c r="H90" s="33">
        <v>2.0</v>
      </c>
      <c r="I90" s="33">
        <v>2.0</v>
      </c>
      <c r="J90" s="33">
        <v>2.0</v>
      </c>
      <c r="K90" s="33">
        <v>2.0</v>
      </c>
      <c r="L90" s="33">
        <v>2.0</v>
      </c>
      <c r="M90" s="33">
        <v>2.0</v>
      </c>
      <c r="N90" s="33">
        <v>2.0</v>
      </c>
      <c r="P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59" t="s">
        <v>137</v>
      </c>
      <c r="B91" s="33"/>
      <c r="C91" s="64">
        <v>35.0</v>
      </c>
      <c r="D91" s="33">
        <v>30.0</v>
      </c>
      <c r="E91" s="33">
        <v>40.0</v>
      </c>
      <c r="F91" s="64">
        <v>30.0</v>
      </c>
      <c r="G91" s="33">
        <v>40.0</v>
      </c>
      <c r="H91" s="33">
        <v>35.0</v>
      </c>
      <c r="I91" s="33">
        <v>45.0</v>
      </c>
      <c r="J91" s="33">
        <v>25.0</v>
      </c>
      <c r="K91" s="64">
        <v>35.0</v>
      </c>
      <c r="L91" s="33">
        <v>35.0</v>
      </c>
      <c r="M91" s="33">
        <v>30.0</v>
      </c>
      <c r="N91" s="33">
        <v>30.0</v>
      </c>
      <c r="P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L92" s="6"/>
      <c r="P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9.5" customHeight="1">
      <c r="A93" s="7" t="s">
        <v>138</v>
      </c>
    </row>
    <row r="94" ht="15.75" customHeight="1"/>
    <row r="95" ht="15.75" customHeight="1"/>
    <row r="96" ht="15.75" customHeight="1"/>
    <row r="97" ht="15.75" customHeight="1">
      <c r="P97" s="6"/>
    </row>
    <row r="98" ht="15.75" customHeight="1">
      <c r="M98" s="6"/>
      <c r="N98" s="6"/>
      <c r="O98" s="6"/>
      <c r="P98" s="6"/>
    </row>
    <row r="99" ht="15.75" customHeight="1"/>
    <row r="100" ht="15.75" customHeight="1"/>
    <row r="101" ht="15.75" customHeight="1">
      <c r="M101" s="6"/>
      <c r="N101" s="6"/>
      <c r="O101" s="6"/>
    </row>
    <row r="102" ht="15.75" customHeight="1">
      <c r="M102" s="6"/>
      <c r="N102" s="6"/>
      <c r="O102" s="6"/>
    </row>
    <row r="103" ht="15.75" customHeight="1">
      <c r="M103" s="6"/>
      <c r="N103" s="6"/>
      <c r="O103" s="6"/>
    </row>
    <row r="104" ht="15.75" customHeight="1">
      <c r="M104" s="6"/>
      <c r="N104" s="4"/>
      <c r="O104" s="6"/>
    </row>
    <row r="105" ht="15.75" customHeight="1">
      <c r="M105" s="6"/>
      <c r="N105" s="6"/>
    </row>
    <row r="106" ht="15.75" customHeight="1"/>
    <row r="107" ht="15.75" customHeight="1"/>
    <row r="108" ht="15.75" customHeight="1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5.75" customHeight="1"/>
    <row r="130" ht="15.75" customHeight="1">
      <c r="C130" s="2"/>
      <c r="D130" s="2"/>
      <c r="E130" s="2"/>
      <c r="F130" s="2"/>
      <c r="O130" s="6"/>
    </row>
    <row r="131" ht="15.75" customHeight="1">
      <c r="C131" s="32"/>
      <c r="D131" s="2"/>
      <c r="E131" s="2"/>
      <c r="F131" s="32"/>
    </row>
    <row r="132" ht="15.75" customHeight="1">
      <c r="C132" s="32"/>
      <c r="D132" s="2"/>
      <c r="E132" s="2"/>
      <c r="F132" s="32"/>
      <c r="O132" s="6"/>
    </row>
    <row r="133" ht="15.75" customHeight="1">
      <c r="C133" s="32"/>
      <c r="D133" s="2"/>
      <c r="E133" s="2"/>
      <c r="F133" s="32"/>
    </row>
    <row r="134" ht="15.75" customHeight="1">
      <c r="C134" s="32"/>
      <c r="D134" s="2"/>
      <c r="E134" s="2"/>
      <c r="F134" s="32"/>
    </row>
    <row r="135" ht="15.75" customHeight="1">
      <c r="C135" s="32"/>
      <c r="D135" s="2"/>
      <c r="E135" s="2"/>
      <c r="F135" s="32"/>
    </row>
    <row r="136" ht="15.75" customHeight="1">
      <c r="C136" s="32"/>
      <c r="D136" s="2"/>
      <c r="E136" s="2"/>
      <c r="F136" s="32"/>
    </row>
    <row r="137" ht="15.75" customHeight="1">
      <c r="C137" s="32"/>
      <c r="D137" s="2"/>
      <c r="E137" s="2"/>
      <c r="F137" s="32"/>
    </row>
    <row r="138" ht="15.75" customHeight="1">
      <c r="C138" s="32"/>
      <c r="D138" s="2"/>
      <c r="E138" s="2"/>
      <c r="F138" s="32"/>
    </row>
    <row r="139" ht="15.75" customHeight="1">
      <c r="C139" s="32"/>
      <c r="D139" s="2"/>
      <c r="E139" s="2"/>
      <c r="F139" s="32"/>
    </row>
    <row r="140" ht="15.75" customHeight="1">
      <c r="C140" s="32"/>
      <c r="D140" s="2"/>
      <c r="E140" s="2"/>
      <c r="F140" s="32"/>
    </row>
    <row r="141" ht="15.75" customHeight="1">
      <c r="C141" s="32"/>
      <c r="D141" s="2"/>
      <c r="E141" s="2"/>
      <c r="F141" s="32"/>
    </row>
    <row r="142" ht="15.75" customHeight="1">
      <c r="C142" s="32"/>
      <c r="D142" s="2"/>
      <c r="E142" s="2"/>
      <c r="F142" s="32"/>
    </row>
    <row r="143" ht="15.75" customHeight="1">
      <c r="C143" s="32"/>
      <c r="D143" s="2"/>
      <c r="E143" s="2"/>
      <c r="F143" s="2"/>
    </row>
    <row r="144" ht="15.75" customHeight="1">
      <c r="C144" s="32"/>
      <c r="D144" s="2"/>
      <c r="E144" s="2"/>
      <c r="F144" s="2"/>
    </row>
    <row r="145" ht="15.75" customHeight="1">
      <c r="C145" s="32"/>
      <c r="D145" s="2"/>
      <c r="E145" s="2"/>
      <c r="F145" s="2"/>
    </row>
    <row r="146" ht="15.75" customHeight="1">
      <c r="C146" s="32"/>
      <c r="D146" s="2"/>
      <c r="E146" s="2"/>
      <c r="F146" s="2"/>
    </row>
    <row r="147" ht="15.75" customHeight="1">
      <c r="C147" s="3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/>
    <row r="151" ht="15.75" customHeight="1"/>
    <row r="152" ht="15.75" customHeight="1">
      <c r="S152" s="6"/>
    </row>
    <row r="153" ht="15.75" customHeight="1">
      <c r="S153" s="6"/>
    </row>
    <row r="154" ht="15.75" customHeight="1">
      <c r="S154" s="6"/>
    </row>
    <row r="155" ht="15.75" customHeight="1">
      <c r="S155" s="6"/>
    </row>
    <row r="156" ht="15.75" customHeight="1">
      <c r="S156" s="6"/>
    </row>
    <row r="157" ht="15.75" customHeight="1">
      <c r="S157" s="6"/>
    </row>
    <row r="158" ht="15.75" customHeight="1">
      <c r="S158" s="6"/>
    </row>
    <row r="159" ht="15.75" customHeight="1">
      <c r="S159" s="6"/>
    </row>
    <row r="160" ht="15.75" customHeight="1">
      <c r="S160" s="6"/>
    </row>
    <row r="161" ht="15.75" customHeight="1">
      <c r="S161" s="6"/>
    </row>
    <row r="162" ht="15.75" customHeight="1">
      <c r="S162" s="6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S175" s="6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E43:J43"/>
    <mergeCell ref="K43:L43"/>
    <mergeCell ref="M43:T43"/>
    <mergeCell ref="U43:AB43"/>
    <mergeCell ref="AC43:AH43"/>
    <mergeCell ref="AI43:AL44"/>
    <mergeCell ref="E44:F44"/>
  </mergeCells>
  <hyperlinks>
    <hyperlink r:id="rId1" ref="A47"/>
    <hyperlink r:id="rId2" ref="A48"/>
    <hyperlink r:id="rId3" ref="A49"/>
    <hyperlink r:id="rId4" ref="A50"/>
    <hyperlink r:id="rId5" ref="A51"/>
    <hyperlink r:id="rId6" ref="A52"/>
    <hyperlink r:id="rId7" ref="A57"/>
    <hyperlink r:id="rId8" ref="A58"/>
    <hyperlink r:id="rId9" ref="A59"/>
    <hyperlink r:id="rId10" ref="A61"/>
    <hyperlink r:id="rId11" ref="A67"/>
    <hyperlink r:id="rId12" ref="A68"/>
    <hyperlink r:id="rId13" ref="A69"/>
    <hyperlink r:id="rId14" ref="A70"/>
  </hyperlinks>
  <printOptions/>
  <pageMargins bottom="0.75" footer="0.0" header="0.0" left="0.7" right="0.7" top="0.75"/>
  <pageSetup paperSize="9" orientation="portrait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2017-11-22T10:19:40Z</dcterms:created>
  <dc:creator>RePack by Diakov</dc:creator>
</cp:coreProperties>
</file>
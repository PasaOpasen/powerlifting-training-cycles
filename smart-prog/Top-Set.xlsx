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2" sheetId="1" state="visible" r:id="rId1"/>
    <sheet name="Лист1" sheetId="2" state="visible" r:id="rId2"/>
  </sheets>
  <calcPr/>
</workbook>
</file>

<file path=xl/sharedStrings.xml><?xml version="1.0" encoding="utf-8"?>
<sst xmlns="http://schemas.openxmlformats.org/spreadsheetml/2006/main" count="31" uniqueCount="31">
  <si>
    <t xml:space="preserve">Связь количества повторений, RPE и интенсивности (%ПМ)</t>
  </si>
  <si>
    <t xml:space="preserve">Повторения </t>
  </si>
  <si>
    <t>RPE</t>
  </si>
  <si>
    <t xml:space="preserve">Расшифровка </t>
  </si>
  <si>
    <t xml:space="preserve">подход в отказ, 0 повторений в запасе</t>
  </si>
  <si>
    <t xml:space="preserve">0 повторений в запасе, но есть возможность взять вес немного больше</t>
  </si>
  <si>
    <t xml:space="preserve">1 повторение в запасе</t>
  </si>
  <si>
    <t xml:space="preserve">1 повторение в запасе и возможность взять немного больше вес </t>
  </si>
  <si>
    <t xml:space="preserve">2 повторения в запасе </t>
  </si>
  <si>
    <t xml:space="preserve">2 повторения в запасе и возможность взять вес немного больше</t>
  </si>
  <si>
    <t xml:space="preserve">3 повторения в запасе </t>
  </si>
  <si>
    <t xml:space="preserve">3 повторения в запасе и возможность взять вес немного больше</t>
  </si>
  <si>
    <t>Вес</t>
  </si>
  <si>
    <t xml:space="preserve">Повт </t>
  </si>
  <si>
    <t>%ПМ</t>
  </si>
  <si>
    <t>ПДМ</t>
  </si>
  <si>
    <t xml:space="preserve"> </t>
  </si>
  <si>
    <r>
      <rPr>
        <b/>
        <sz val="11"/>
        <color theme="1"/>
        <rFont val="Calibri"/>
        <scheme val="minor"/>
      </rPr>
      <t xml:space="preserve">Прогнозируемый дневной максимум (ПДМ)</t>
    </r>
    <r>
      <rPr>
        <sz val="11"/>
        <color theme="1"/>
        <rFont val="Calibri"/>
        <scheme val="minor"/>
      </rPr>
      <t xml:space="preserve"> - это тренировочный инструмент, который оценивает одноповторный максимум атлета (1ПМ) в данный день на основе веса, количества повторений и воспринимаемого усилия (RPE) в подходе. </t>
    </r>
  </si>
  <si>
    <t xml:space="preserve">Это позволяет не выполнять проходку до 100%ПМ или подходы в отказ для подбора рабочих весов каждую тренировку (что явно вредит тренировочному процессу)</t>
  </si>
  <si>
    <t xml:space="preserve">Данный показатель способствует саморегуляции, корректируя тренировку в зависимости от текущей готовности атлета, и может использоваться для получения обратной связи об эффективности тренировочной программы.</t>
  </si>
  <si>
    <t xml:space="preserve">Вы задаёте только целевой RPE и количество повторений, рабочий вес каждого подхода будет автоматически подбираться после оценки реального RPE</t>
  </si>
  <si>
    <t xml:space="preserve">Желаемый RPE  </t>
  </si>
  <si>
    <t>Повт</t>
  </si>
  <si>
    <t xml:space="preserve">Оценка RPE</t>
  </si>
  <si>
    <t>ПМ</t>
  </si>
  <si>
    <t>⬅Top-Set</t>
  </si>
  <si>
    <t>Back-Off-Set</t>
  </si>
  <si>
    <t xml:space="preserve">     Top-set </t>
  </si>
  <si>
    <t xml:space="preserve">     Back-off-set </t>
  </si>
  <si>
    <t>Top-set:</t>
  </si>
  <si>
    <t xml:space="preserve">Back-off-set: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</si>
</sst>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name val="Calibri"/>
      <scheme val="minor"/>
    </font>
    <font>
      <b/>
      <sz val="16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FF6699"/>
        <bgColor rgb="FFFF6699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</fills>
  <borders count="5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3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1" fillId="0" borderId="4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/>
    </xf>
    <xf fontId="1" fillId="0" borderId="4" numFmtId="160" xfId="0" applyNumberFormat="1" applyFont="1" applyBorder="1" applyAlignment="1">
      <alignment vertical="center" wrapText="1"/>
    </xf>
    <xf fontId="0" fillId="0" borderId="4" numFmtId="0" xfId="0" applyBorder="1" applyAlignment="1">
      <alignment vertical="center" wrapText="1"/>
    </xf>
    <xf fontId="0" fillId="0" borderId="5" numFmtId="160" xfId="0" applyNumberFormat="1" applyBorder="1" applyAlignment="1">
      <alignment horizontal="center"/>
    </xf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9" numFmtId="160" xfId="0" applyNumberFormat="1" applyBorder="1" applyAlignment="1">
      <alignment horizontal="center"/>
    </xf>
    <xf fontId="0" fillId="0" borderId="10" numFmtId="0" xfId="0" applyBorder="1"/>
    <xf fontId="0" fillId="0" borderId="11" numFmtId="0" xfId="0" applyBorder="1"/>
    <xf fontId="0" fillId="0" borderId="12" numFmtId="0" xfId="0" applyBorder="1"/>
    <xf fontId="0" fillId="0" borderId="13" numFmtId="160" xfId="0" applyNumberFormat="1" applyBorder="1" applyAlignment="1">
      <alignment horizontal="center"/>
    </xf>
    <xf fontId="0" fillId="0" borderId="14" numFmtId="0" xfId="0" applyBorder="1"/>
    <xf fontId="0" fillId="0" borderId="15" numFmtId="0" xfId="0" applyBorder="1"/>
    <xf fontId="0" fillId="0" borderId="16" numFmtId="0" xfId="0" applyBorder="1"/>
    <xf fontId="0" fillId="0" borderId="0" numFmtId="160" xfId="0" applyNumberFormat="1"/>
    <xf fontId="1" fillId="0" borderId="0" numFmtId="0" xfId="0" applyFont="1" applyAlignment="1">
      <alignment horizontal="center" vertical="center" wrapText="1"/>
    </xf>
    <xf fontId="0" fillId="0" borderId="0" numFmtId="0" xfId="0"/>
    <xf fontId="1" fillId="0" borderId="0" numFmtId="160" xfId="0" applyNumberFormat="1" applyFont="1" applyAlignment="1">
      <alignment vertical="center" wrapText="1"/>
    </xf>
    <xf fontId="0" fillId="0" borderId="0" numFmtId="0" xfId="0" applyAlignment="1">
      <alignment vertical="center" wrapText="1"/>
    </xf>
    <xf fontId="0" fillId="0" borderId="9" numFmtId="0" xfId="0" applyBorder="1"/>
    <xf fontId="1" fillId="2" borderId="5" numFmtId="160" xfId="0" applyNumberFormat="1" applyFont="1" applyFill="1" applyBorder="1" applyAlignment="1">
      <alignment horizontal="center" vertical="center" wrapText="1"/>
    </xf>
    <xf fontId="1" fillId="2" borderId="10" numFmtId="0" xfId="0" applyFont="1" applyFill="1" applyBorder="1" applyAlignment="1">
      <alignment horizontal="center" vertical="center"/>
    </xf>
    <xf fontId="1" fillId="2" borderId="10" numFmtId="160" xfId="0" applyNumberFormat="1" applyFont="1" applyFill="1" applyBorder="1" applyAlignment="1">
      <alignment horizontal="center" vertical="center" wrapText="1"/>
    </xf>
    <xf fontId="1" fillId="2" borderId="9" numFmtId="160" xfId="0" applyNumberFormat="1" applyFont="1" applyFill="1" applyBorder="1" applyAlignment="1">
      <alignment horizontal="center" vertical="center" wrapText="1"/>
    </xf>
    <xf fontId="1" fillId="3" borderId="10" numFmtId="0" xfId="0" applyFont="1" applyFill="1" applyBorder="1" applyAlignment="1">
      <alignment horizontal="center" vertical="center"/>
    </xf>
    <xf fontId="1" fillId="3" borderId="11" numFmtId="0" xfId="0" applyFont="1" applyFill="1" applyBorder="1" applyAlignment="1">
      <alignment horizontal="center" vertical="center"/>
    </xf>
    <xf fontId="1" fillId="3" borderId="12" numFmtId="0" xfId="0" applyFont="1" applyFill="1" applyBorder="1" applyAlignment="1">
      <alignment horizontal="center" vertical="center"/>
    </xf>
    <xf fontId="1" fillId="0" borderId="12" numFmtId="160" xfId="0" applyNumberFormat="1" applyFont="1" applyBorder="1" applyAlignment="1">
      <alignment vertical="center" wrapText="1"/>
    </xf>
    <xf fontId="1" fillId="2" borderId="13" numFmtId="160" xfId="0" applyNumberFormat="1" applyFont="1" applyFill="1" applyBorder="1" applyAlignment="1">
      <alignment horizontal="center" vertical="center" wrapText="1"/>
    </xf>
    <xf fontId="2" fillId="0" borderId="9" numFmtId="0" xfId="0" applyFont="1" applyBorder="1"/>
    <xf fontId="2" fillId="0" borderId="9" numFmtId="1" xfId="0" applyNumberFormat="1" applyFont="1" applyBorder="1" applyAlignment="1">
      <alignment vertical="center" wrapText="1"/>
    </xf>
    <xf fontId="2" fillId="0" borderId="9" numFmtId="160" xfId="0" applyNumberFormat="1" applyFont="1" applyBorder="1" applyAlignment="1">
      <alignment vertical="center" wrapText="1"/>
    </xf>
    <xf fontId="1" fillId="3" borderId="9" numFmtId="0" xfId="0" applyFont="1" applyFill="1" applyBorder="1" applyAlignment="1">
      <alignment horizontal="center" vertical="center" wrapText="1"/>
    </xf>
    <xf fontId="1" fillId="4" borderId="17" numFmtId="0" xfId="0" applyFont="1" applyFill="1" applyBorder="1" applyAlignment="1">
      <alignment horizontal="center" vertical="center" wrapText="1"/>
    </xf>
    <xf fontId="1" fillId="4" borderId="18" numFmtId="0" xfId="0" applyFont="1" applyFill="1" applyBorder="1" applyAlignment="1">
      <alignment horizontal="center" vertical="center" wrapText="1"/>
    </xf>
    <xf fontId="1" fillId="4" borderId="19" numFmtId="0" xfId="0" applyFont="1" applyFill="1" applyBorder="1" applyAlignment="1">
      <alignment horizontal="center" vertical="center" wrapText="1"/>
    </xf>
    <xf fontId="1" fillId="4" borderId="20" numFmtId="0" xfId="0" applyFont="1" applyFill="1" applyBorder="1" applyAlignment="1">
      <alignment horizontal="center" vertical="center" wrapText="1"/>
    </xf>
    <xf fontId="0" fillId="0" borderId="9" numFmtId="2" xfId="0" applyNumberFormat="1" applyBorder="1" applyAlignment="1">
      <alignment vertical="center" wrapText="1"/>
    </xf>
    <xf fontId="0" fillId="0" borderId="9" numFmtId="160" xfId="0" applyNumberFormat="1" applyBorder="1" applyAlignment="1">
      <alignment vertical="center" wrapText="1"/>
    </xf>
    <xf fontId="0" fillId="0" borderId="5" numFmtId="0" xfId="0" applyBorder="1"/>
    <xf fontId="0" fillId="5" borderId="9" numFmtId="0" xfId="0" applyFill="1" applyBorder="1"/>
    <xf fontId="1" fillId="4" borderId="21" numFmtId="160" xfId="0" applyNumberFormat="1" applyFont="1" applyFill="1" applyBorder="1" applyAlignment="1">
      <alignment vertical="center" wrapText="1"/>
    </xf>
    <xf fontId="0" fillId="6" borderId="22" numFmtId="9" xfId="0" applyNumberFormat="1" applyFill="1" applyBorder="1" applyAlignment="1">
      <alignment vertical="center" wrapText="1"/>
    </xf>
    <xf fontId="0" fillId="6" borderId="23" numFmtId="9" xfId="0" applyNumberFormat="1" applyFill="1" applyBorder="1" applyAlignment="1">
      <alignment vertical="center" wrapText="1"/>
    </xf>
    <xf fontId="0" fillId="6" borderId="24" numFmtId="9" xfId="0" applyNumberFormat="1" applyFill="1" applyBorder="1" applyAlignment="1">
      <alignment vertical="center" wrapText="1"/>
    </xf>
    <xf fontId="0" fillId="6" borderId="25" numFmtId="9" xfId="0" applyNumberFormat="1" applyFill="1" applyBorder="1" applyAlignment="1">
      <alignment vertical="center" wrapText="1"/>
    </xf>
    <xf fontId="0" fillId="0" borderId="26" numFmtId="9" xfId="0" applyNumberFormat="1" applyBorder="1" applyAlignment="1">
      <alignment vertical="center" wrapText="1"/>
    </xf>
    <xf fontId="0" fillId="0" borderId="24" numFmtId="9" xfId="0" applyNumberFormat="1" applyBorder="1" applyAlignment="1">
      <alignment vertical="center" wrapText="1"/>
    </xf>
    <xf fontId="0" fillId="0" borderId="25" numFmtId="9" xfId="0" applyNumberFormat="1" applyBorder="1" applyAlignment="1">
      <alignment vertical="center" wrapText="1"/>
    </xf>
    <xf fontId="1" fillId="4" borderId="27" numFmtId="160" xfId="0" applyNumberFormat="1" applyFont="1" applyFill="1" applyBorder="1" applyAlignment="1">
      <alignment vertical="center" wrapText="1"/>
    </xf>
    <xf fontId="0" fillId="5" borderId="28" numFmtId="9" xfId="0" applyNumberFormat="1" applyFill="1" applyBorder="1" applyAlignment="1">
      <alignment vertical="center" wrapText="1"/>
    </xf>
    <xf fontId="0" fillId="5" borderId="1" numFmtId="9" xfId="0" applyNumberFormat="1" applyFill="1" applyBorder="1" applyAlignment="1">
      <alignment vertical="center" wrapText="1"/>
    </xf>
    <xf fontId="0" fillId="5" borderId="4" numFmtId="9" xfId="0" applyNumberFormat="1" applyFill="1" applyBorder="1" applyAlignment="1">
      <alignment vertical="center" wrapText="1"/>
    </xf>
    <xf fontId="2" fillId="5" borderId="4" numFmtId="9" xfId="0" applyNumberFormat="1" applyFont="1" applyFill="1" applyBorder="1" applyAlignment="1">
      <alignment vertical="center" wrapText="1"/>
    </xf>
    <xf fontId="2" fillId="5" borderId="29" numFmtId="9" xfId="0" applyNumberFormat="1" applyFont="1" applyFill="1" applyBorder="1" applyAlignment="1">
      <alignment vertical="center" wrapText="1"/>
    </xf>
    <xf fontId="0" fillId="0" borderId="3" numFmtId="9" xfId="0" applyNumberFormat="1" applyBorder="1" applyAlignment="1">
      <alignment vertical="center" wrapText="1"/>
    </xf>
    <xf fontId="0" fillId="0" borderId="4" numFmtId="9" xfId="0" applyNumberFormat="1" applyBorder="1" applyAlignment="1">
      <alignment vertical="center" wrapText="1"/>
    </xf>
    <xf fontId="0" fillId="0" borderId="29" numFmtId="9" xfId="0" applyNumberFormat="1" applyBorder="1" applyAlignment="1">
      <alignment vertical="center" wrapText="1"/>
    </xf>
    <xf fontId="0" fillId="0" borderId="13" numFmtId="0" xfId="0" applyBorder="1"/>
    <xf fontId="0" fillId="7" borderId="9" numFmtId="0" xfId="0" applyFill="1" applyBorder="1"/>
    <xf fontId="0" fillId="5" borderId="30" numFmtId="9" xfId="0" applyNumberFormat="1" applyFill="1" applyBorder="1" applyAlignment="1">
      <alignment vertical="center" wrapText="1"/>
    </xf>
    <xf fontId="2" fillId="5" borderId="30" numFmtId="9" xfId="0" applyNumberFormat="1" applyFont="1" applyFill="1" applyBorder="1" applyAlignment="1">
      <alignment vertical="center" wrapText="1"/>
    </xf>
    <xf fontId="2" fillId="5" borderId="31" numFmtId="9" xfId="0" applyNumberFormat="1" applyFont="1" applyFill="1" applyBorder="1" applyAlignment="1">
      <alignment vertical="center" wrapText="1"/>
    </xf>
    <xf fontId="0" fillId="0" borderId="32" numFmtId="9" xfId="0" applyNumberFormat="1" applyBorder="1" applyAlignment="1">
      <alignment vertical="center" wrapText="1"/>
    </xf>
    <xf fontId="0" fillId="8" borderId="22" numFmtId="9" xfId="0" applyNumberFormat="1" applyFill="1" applyBorder="1" applyAlignment="1">
      <alignment vertical="center" wrapText="1"/>
    </xf>
    <xf fontId="2" fillId="8" borderId="24" numFmtId="9" xfId="0" applyNumberFormat="1" applyFont="1" applyFill="1" applyBorder="1" applyAlignment="1">
      <alignment vertical="center" wrapText="1"/>
    </xf>
    <xf fontId="2" fillId="8" borderId="25" numFmtId="9" xfId="0" applyNumberFormat="1" applyFont="1" applyFill="1" applyBorder="1" applyAlignment="1">
      <alignment vertical="center" wrapText="1"/>
    </xf>
    <xf fontId="0" fillId="7" borderId="33" numFmtId="9" xfId="0" applyNumberFormat="1" applyFill="1" applyBorder="1" applyAlignment="1">
      <alignment vertical="center" wrapText="1"/>
    </xf>
    <xf fontId="0" fillId="8" borderId="28" numFmtId="9" xfId="0" applyNumberFormat="1" applyFill="1" applyBorder="1" applyAlignment="1">
      <alignment vertical="center" wrapText="1"/>
    </xf>
    <xf fontId="2" fillId="8" borderId="4" numFmtId="9" xfId="0" applyNumberFormat="1" applyFont="1" applyFill="1" applyBorder="1" applyAlignment="1">
      <alignment vertical="center" wrapText="1"/>
    </xf>
    <xf fontId="2" fillId="8" borderId="29" numFmtId="9" xfId="0" applyNumberFormat="1" applyFont="1" applyFill="1" applyBorder="1" applyAlignment="1">
      <alignment vertical="center" wrapText="1"/>
    </xf>
    <xf fontId="0" fillId="7" borderId="34" numFmtId="9" xfId="0" applyNumberFormat="1" applyFill="1" applyBorder="1" applyAlignment="1">
      <alignment vertical="center" wrapText="1"/>
    </xf>
    <xf fontId="0" fillId="5" borderId="35" numFmtId="9" xfId="0" applyNumberFormat="1" applyFill="1" applyBorder="1" applyAlignment="1">
      <alignment vertical="center" wrapText="1"/>
    </xf>
    <xf fontId="0" fillId="5" borderId="36" numFmtId="9" xfId="0" applyNumberFormat="1" applyFill="1" applyBorder="1" applyAlignment="1">
      <alignment vertical="center" wrapText="1"/>
    </xf>
    <xf fontId="0" fillId="8" borderId="35" numFmtId="9" xfId="0" applyNumberFormat="1" applyFill="1" applyBorder="1" applyAlignment="1">
      <alignment vertical="center" wrapText="1"/>
    </xf>
    <xf fontId="2" fillId="8" borderId="37" numFmtId="9" xfId="0" applyNumberFormat="1" applyFont="1" applyFill="1" applyBorder="1" applyAlignment="1">
      <alignment vertical="center" wrapText="1"/>
    </xf>
    <xf fontId="2" fillId="8" borderId="38" numFmtId="9" xfId="0" applyNumberFormat="1" applyFont="1" applyFill="1" applyBorder="1" applyAlignment="1">
      <alignment vertical="center" wrapText="1"/>
    </xf>
    <xf fontId="0" fillId="0" borderId="39" numFmtId="9" xfId="0" applyNumberFormat="1" applyBorder="1" applyAlignment="1">
      <alignment vertical="center" wrapText="1"/>
    </xf>
    <xf fontId="0" fillId="0" borderId="0" numFmtId="9" xfId="0" applyNumberFormat="1" applyAlignment="1">
      <alignment vertical="center" wrapText="1"/>
    </xf>
    <xf fontId="0" fillId="7" borderId="40" numFmtId="9" xfId="0" applyNumberFormat="1" applyFill="1" applyBorder="1" applyAlignment="1">
      <alignment vertical="center" wrapText="1"/>
    </xf>
    <xf fontId="0" fillId="7" borderId="41" numFmtId="9" xfId="0" applyNumberFormat="1" applyFill="1" applyBorder="1" applyAlignment="1">
      <alignment vertical="center" wrapText="1"/>
    </xf>
    <xf fontId="0" fillId="7" borderId="42" numFmtId="9" xfId="0" applyNumberFormat="1" applyFill="1" applyBorder="1" applyAlignment="1">
      <alignment vertical="center" wrapText="1"/>
    </xf>
    <xf fontId="0" fillId="7" borderId="29" numFmtId="9" xfId="0" applyNumberFormat="1" applyFill="1" applyBorder="1" applyAlignment="1">
      <alignment vertical="center" wrapText="1"/>
    </xf>
    <xf fontId="1" fillId="4" borderId="43" numFmtId="160" xfId="0" applyNumberFormat="1" applyFont="1" applyFill="1" applyBorder="1" applyAlignment="1">
      <alignment vertical="center" wrapText="1"/>
    </xf>
    <xf fontId="0" fillId="0" borderId="44" numFmtId="9" xfId="0" applyNumberFormat="1" applyBorder="1" applyAlignment="1">
      <alignment vertical="center" wrapText="1"/>
    </xf>
    <xf fontId="0" fillId="0" borderId="45" numFmtId="9" xfId="0" applyNumberFormat="1" applyBorder="1" applyAlignment="1">
      <alignment vertical="center" wrapText="1"/>
    </xf>
    <xf fontId="0" fillId="7" borderId="44" numFmtId="9" xfId="0" applyNumberFormat="1" applyFill="1" applyBorder="1" applyAlignment="1">
      <alignment vertical="center" wrapText="1"/>
    </xf>
    <xf fontId="0" fillId="7" borderId="37" numFmtId="9" xfId="0" applyNumberFormat="1" applyFill="1" applyBorder="1" applyAlignment="1">
      <alignment vertical="center" wrapText="1"/>
    </xf>
    <xf fontId="0" fillId="7" borderId="38" numFmtId="9" xfId="0" applyNumberFormat="1" applyFill="1" applyBorder="1" applyAlignment="1">
      <alignment vertical="center" wrapText="1"/>
    </xf>
    <xf fontId="0" fillId="0" borderId="46" numFmtId="9" xfId="0" applyNumberFormat="1" applyBorder="1" applyAlignment="1">
      <alignment vertical="center" wrapText="1"/>
    </xf>
    <xf fontId="0" fillId="0" borderId="37" numFmtId="9" xfId="0" applyNumberFormat="1" applyBorder="1" applyAlignment="1">
      <alignment vertical="center" wrapText="1"/>
    </xf>
    <xf fontId="0" fillId="0" borderId="38" numFmtId="9" xfId="0" applyNumberFormat="1" applyBorder="1" applyAlignment="1">
      <alignment vertical="center" wrapText="1"/>
    </xf>
    <xf fontId="3" fillId="0" borderId="0" numFmtId="0" xfId="0" applyFont="1"/>
    <xf fontId="1" fillId="4" borderId="9" numFmtId="0" xfId="0" applyFont="1" applyFill="1" applyBorder="1"/>
    <xf fontId="1" fillId="4" borderId="10" numFmtId="0" xfId="0" applyFont="1" applyFill="1" applyBorder="1"/>
    <xf fontId="1" fillId="4" borderId="12" numFmtId="0" xfId="0" applyFont="1" applyFill="1" applyBorder="1"/>
    <xf fontId="1" fillId="2" borderId="47" numFmtId="160" xfId="0" applyNumberFormat="1" applyFont="1" applyFill="1" applyBorder="1"/>
    <xf fontId="0" fillId="5" borderId="28" numFmtId="9" xfId="0" applyNumberFormat="1" applyFill="1" applyBorder="1"/>
    <xf fontId="0" fillId="5" borderId="4" numFmtId="0" xfId="0" applyFill="1" applyBorder="1"/>
    <xf fontId="1" fillId="2" borderId="48" numFmtId="160" xfId="0" applyNumberFormat="1" applyFont="1" applyFill="1" applyBorder="1"/>
    <xf fontId="0" fillId="7" borderId="40" numFmtId="9" xfId="0" applyNumberFormat="1" applyFill="1" applyBorder="1"/>
    <xf fontId="0" fillId="7" borderId="42" numFmtId="0" xfId="0" applyFill="1" applyBorder="1"/>
    <xf fontId="0" fillId="7" borderId="49" numFmtId="0" xfId="0" applyFill="1" applyBorder="1"/>
    <xf fontId="1" fillId="2" borderId="50" numFmtId="0" xfId="0" applyFont="1" applyFill="1" applyBorder="1"/>
    <xf fontId="0" fillId="7" borderId="28" numFmtId="9" xfId="0" applyNumberFormat="1" applyFill="1" applyBorder="1"/>
    <xf fontId="0" fillId="7" borderId="4" numFmtId="0" xfId="0" applyFill="1" applyBorder="1"/>
    <xf fontId="0" fillId="7" borderId="29" numFmtId="0" xfId="0" applyFill="1" applyBorder="1"/>
    <xf fontId="1" fillId="2" borderId="51" numFmtId="160" xfId="0" applyNumberFormat="1" applyFont="1" applyFill="1" applyBorder="1"/>
    <xf fontId="0" fillId="7" borderId="35" numFmtId="9" xfId="0" applyNumberFormat="1" applyFill="1" applyBorder="1"/>
    <xf fontId="0" fillId="7" borderId="52" numFmtId="0" xfId="0" applyFill="1" applyBorder="1"/>
    <xf fontId="0" fillId="7" borderId="37" numFmtId="0" xfId="0" applyFill="1" applyBorder="1"/>
    <xf fontId="0" fillId="7" borderId="38" numFmtId="0" xfId="0" applyFill="1" applyBorder="1"/>
    <xf fontId="1" fillId="0" borderId="0" numFmtId="160" xfId="0" applyNumberFormat="1" applyFont="1"/>
    <xf fontId="0" fillId="0" borderId="0" numFmtId="9" xfId="0" applyNumberFormat="1"/>
    <xf fontId="0" fillId="6" borderId="35" numFmtId="9" xfId="0" applyNumberFormat="1" applyFill="1" applyBorder="1"/>
    <xf fontId="0" fillId="6" borderId="37" numFmt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27" activeCellId="0" sqref="F27"/>
    </sheetView>
  </sheetViews>
  <sheetFormatPr defaultRowHeight="14.25"/>
  <sheetData>
    <row r="2">
      <c r="D2" s="1" t="s">
        <v>0</v>
      </c>
    </row>
    <row r="4">
      <c r="D4" s="2" t="s">
        <v>1</v>
      </c>
      <c r="E4" s="3"/>
      <c r="F4" s="3"/>
      <c r="G4" s="3"/>
      <c r="H4" s="3"/>
      <c r="I4" s="3"/>
      <c r="J4" s="3"/>
      <c r="K4" s="3"/>
      <c r="L4" s="3"/>
      <c r="M4" s="4"/>
    </row>
    <row r="5" ht="15.75">
      <c r="C5" s="5" t="s">
        <v>2</v>
      </c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P5" s="6" t="s">
        <v>2</v>
      </c>
      <c r="Q5" s="1" t="s">
        <v>3</v>
      </c>
    </row>
    <row r="6" ht="15.75">
      <c r="C6" s="7">
        <v>10</v>
      </c>
      <c r="D6" s="8">
        <v>1</v>
      </c>
      <c r="E6" s="8">
        <v>0.95999999999999996</v>
      </c>
      <c r="F6" s="8">
        <v>0.92000000000000004</v>
      </c>
      <c r="G6" s="8">
        <v>0.89000000000000001</v>
      </c>
      <c r="H6" s="8">
        <v>0.85999999999999999</v>
      </c>
      <c r="I6" s="8">
        <v>0.83999999999999997</v>
      </c>
      <c r="J6" s="8">
        <v>0.81000000000000005</v>
      </c>
      <c r="K6" s="8">
        <v>0.79000000000000004</v>
      </c>
      <c r="L6" s="8">
        <v>0.76000000000000001</v>
      </c>
      <c r="M6" s="8">
        <v>0.73999999999999999</v>
      </c>
      <c r="P6" s="9">
        <v>10</v>
      </c>
      <c r="Q6" s="10" t="s">
        <v>4</v>
      </c>
      <c r="R6" s="11"/>
      <c r="S6" s="11"/>
      <c r="T6" s="11"/>
      <c r="U6" s="11"/>
      <c r="V6" s="11"/>
      <c r="W6" s="11"/>
      <c r="X6" s="12"/>
    </row>
    <row r="7" ht="15.75">
      <c r="C7" s="7">
        <v>9.5</v>
      </c>
      <c r="D7" s="8">
        <v>0.97999999999999998</v>
      </c>
      <c r="E7" s="8">
        <v>0.93999999999999995</v>
      </c>
      <c r="F7" s="8">
        <v>0.91000000000000003</v>
      </c>
      <c r="G7" s="8">
        <v>0.88</v>
      </c>
      <c r="H7" s="8">
        <v>0.84999999999999998</v>
      </c>
      <c r="I7" s="8">
        <v>0.81999999999999995</v>
      </c>
      <c r="J7" s="8">
        <v>0.80000000000000004</v>
      </c>
      <c r="K7" s="8">
        <v>0.77000000000000002</v>
      </c>
      <c r="L7" s="8">
        <v>0.75</v>
      </c>
      <c r="M7" s="8">
        <v>0.71999999999999997</v>
      </c>
      <c r="P7" s="9">
        <v>9.5</v>
      </c>
      <c r="Q7" s="10" t="s">
        <v>5</v>
      </c>
      <c r="R7" s="11"/>
      <c r="S7" s="11"/>
      <c r="T7" s="11"/>
      <c r="U7" s="11"/>
      <c r="V7" s="11"/>
      <c r="W7" s="11"/>
      <c r="X7" s="12"/>
    </row>
    <row r="8" ht="15.75">
      <c r="C8" s="7">
        <v>9</v>
      </c>
      <c r="D8" s="8">
        <v>0.95999999999999996</v>
      </c>
      <c r="E8" s="8">
        <v>0.92000000000000004</v>
      </c>
      <c r="F8" s="8">
        <v>0.89000000000000001</v>
      </c>
      <c r="G8" s="8">
        <v>0.85999999999999999</v>
      </c>
      <c r="H8" s="8">
        <v>0.83999999999999997</v>
      </c>
      <c r="I8" s="8">
        <v>0.81000000000000005</v>
      </c>
      <c r="J8" s="8">
        <v>0.79000000000000004</v>
      </c>
      <c r="K8" s="8">
        <v>0.76000000000000001</v>
      </c>
      <c r="L8" s="8">
        <v>0.73999999999999999</v>
      </c>
      <c r="M8" s="8">
        <v>0.70999999999999996</v>
      </c>
      <c r="P8" s="9">
        <v>9</v>
      </c>
      <c r="Q8" s="10" t="s">
        <v>6</v>
      </c>
      <c r="R8" s="11"/>
      <c r="S8" s="11"/>
      <c r="T8" s="11"/>
      <c r="U8" s="11"/>
      <c r="V8" s="11"/>
      <c r="W8" s="11"/>
      <c r="X8" s="12"/>
    </row>
    <row r="9" ht="15.75">
      <c r="C9" s="7">
        <v>8.5</v>
      </c>
      <c r="D9" s="8">
        <v>0.93999999999999995</v>
      </c>
      <c r="E9" s="8">
        <v>0.91000000000000003</v>
      </c>
      <c r="F9" s="8">
        <v>0.88</v>
      </c>
      <c r="G9" s="8">
        <v>0.84999999999999998</v>
      </c>
      <c r="H9" s="8">
        <v>0.71999999999999997</v>
      </c>
      <c r="I9" s="8">
        <v>0.80000000000000004</v>
      </c>
      <c r="J9" s="8">
        <v>0.77000000000000002</v>
      </c>
      <c r="K9" s="8">
        <v>0.75</v>
      </c>
      <c r="L9" s="8">
        <v>0.71999999999999997</v>
      </c>
      <c r="M9" s="8">
        <v>0.68999999999999995</v>
      </c>
      <c r="P9" s="13">
        <v>8.5</v>
      </c>
      <c r="Q9" s="14" t="s">
        <v>7</v>
      </c>
      <c r="R9" s="15"/>
      <c r="S9" s="15"/>
      <c r="T9" s="15"/>
      <c r="U9" s="15"/>
      <c r="V9" s="15"/>
      <c r="W9" s="15"/>
      <c r="X9" s="16"/>
    </row>
    <row r="10" ht="15.75">
      <c r="C10" s="7">
        <v>8</v>
      </c>
      <c r="D10" s="8">
        <v>0.92000000000000004</v>
      </c>
      <c r="E10" s="8">
        <v>0.89000000000000001</v>
      </c>
      <c r="F10" s="8">
        <v>0.85999999999999999</v>
      </c>
      <c r="G10" s="8">
        <v>0.83999999999999997</v>
      </c>
      <c r="H10" s="8">
        <v>0.81000000000000005</v>
      </c>
      <c r="I10" s="8">
        <v>0.79000000000000004</v>
      </c>
      <c r="J10" s="8">
        <v>0.76000000000000001</v>
      </c>
      <c r="K10" s="8">
        <v>0.73999999999999999</v>
      </c>
      <c r="L10" s="8">
        <v>0.70999999999999996</v>
      </c>
      <c r="M10" s="8">
        <v>0.68000000000000005</v>
      </c>
      <c r="P10" s="17">
        <v>8</v>
      </c>
      <c r="Q10" s="18" t="s">
        <v>8</v>
      </c>
      <c r="R10" s="19"/>
      <c r="S10" s="19"/>
      <c r="T10" s="19"/>
      <c r="U10" s="19"/>
      <c r="V10" s="19"/>
      <c r="W10" s="19"/>
      <c r="X10" s="20"/>
    </row>
    <row r="11" ht="15.75">
      <c r="C11" s="7">
        <v>7.5</v>
      </c>
      <c r="D11" s="8">
        <v>0.91000000000000003</v>
      </c>
      <c r="E11" s="8">
        <v>0.88</v>
      </c>
      <c r="F11" s="8">
        <v>0.84999999999999998</v>
      </c>
      <c r="G11" s="8">
        <v>0.81999999999999995</v>
      </c>
      <c r="H11" s="8">
        <v>0.80000000000000004</v>
      </c>
      <c r="I11" s="8">
        <v>0.77000000000000002</v>
      </c>
      <c r="J11" s="8">
        <v>0.75</v>
      </c>
      <c r="K11" s="8">
        <v>0.71999999999999997</v>
      </c>
      <c r="L11" s="8">
        <v>0.68999999999999995</v>
      </c>
      <c r="M11" s="8">
        <v>0.67000000000000004</v>
      </c>
      <c r="P11" s="17">
        <v>7.5</v>
      </c>
      <c r="Q11" s="18" t="s">
        <v>9</v>
      </c>
      <c r="R11" s="19"/>
      <c r="S11" s="19"/>
      <c r="T11" s="19"/>
      <c r="U11" s="19"/>
      <c r="V11" s="19"/>
      <c r="W11" s="19"/>
      <c r="X11" s="20"/>
    </row>
    <row r="12" ht="15.75">
      <c r="C12" s="7">
        <v>7</v>
      </c>
      <c r="D12" s="8">
        <v>0.89000000000000001</v>
      </c>
      <c r="E12" s="8">
        <v>0.85999999999999999</v>
      </c>
      <c r="F12" s="8">
        <v>0.83999999999999997</v>
      </c>
      <c r="G12" s="8">
        <v>0.81000000000000005</v>
      </c>
      <c r="H12" s="8">
        <v>0.79000000000000004</v>
      </c>
      <c r="I12" s="8">
        <v>0.76000000000000001</v>
      </c>
      <c r="J12" s="8">
        <v>0.73999999999999999</v>
      </c>
      <c r="K12" s="8">
        <v>0.70999999999999996</v>
      </c>
      <c r="L12" s="8">
        <v>0.68000000000000005</v>
      </c>
      <c r="M12" s="8">
        <v>0.65000000000000002</v>
      </c>
      <c r="P12" s="17">
        <v>7</v>
      </c>
      <c r="Q12" s="18" t="s">
        <v>10</v>
      </c>
      <c r="R12" s="19"/>
      <c r="S12" s="19"/>
      <c r="T12" s="19"/>
      <c r="U12" s="19"/>
      <c r="V12" s="19"/>
      <c r="W12" s="19"/>
      <c r="X12" s="20"/>
    </row>
    <row r="13" ht="15.75">
      <c r="C13" s="7">
        <v>6.5</v>
      </c>
      <c r="D13" s="8">
        <v>0.88</v>
      </c>
      <c r="E13" s="8">
        <v>0.84999999999999998</v>
      </c>
      <c r="F13" s="8">
        <v>0.81999999999999995</v>
      </c>
      <c r="G13" s="8">
        <v>0.80000000000000004</v>
      </c>
      <c r="H13" s="8">
        <v>0.77000000000000002</v>
      </c>
      <c r="I13" s="8">
        <v>0.75</v>
      </c>
      <c r="J13" s="8">
        <v>0.71999999999999997</v>
      </c>
      <c r="K13" s="8">
        <v>0.68999999999999995</v>
      </c>
      <c r="L13" s="8">
        <v>0.67000000000000004</v>
      </c>
      <c r="M13" s="8">
        <v>0.64000000000000001</v>
      </c>
      <c r="P13" s="17">
        <v>6.5</v>
      </c>
      <c r="Q13" s="18" t="s">
        <v>11</v>
      </c>
      <c r="R13" s="19"/>
      <c r="S13" s="19"/>
      <c r="T13" s="19"/>
      <c r="U13" s="19"/>
      <c r="V13" s="19"/>
      <c r="W13" s="19"/>
      <c r="X13" s="20"/>
    </row>
    <row r="14">
      <c r="C14" s="21"/>
    </row>
    <row r="15"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>
      <c r="B16" s="23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ht="15.75">
      <c r="B17" s="23"/>
      <c r="C17" s="1" t="s">
        <v>12</v>
      </c>
      <c r="D17" s="1" t="s">
        <v>13</v>
      </c>
      <c r="E17" s="1" t="s">
        <v>2</v>
      </c>
      <c r="F17" s="1" t="s">
        <v>14</v>
      </c>
      <c r="G17" s="1" t="s">
        <v>15</v>
      </c>
      <c r="H17" s="23"/>
      <c r="I17" s="23"/>
      <c r="J17" s="1" t="s">
        <v>16</v>
      </c>
      <c r="L17" s="25"/>
      <c r="M17" s="25"/>
    </row>
    <row r="18" ht="15.75">
      <c r="B18" s="23"/>
      <c r="C18" s="14">
        <v>160</v>
      </c>
      <c r="D18" s="14">
        <v>5</v>
      </c>
      <c r="E18" s="26">
        <v>8</v>
      </c>
      <c r="F18" s="16">
        <f>INDEX(Лист2!D6:M13,MATCH(E18,Лист2!$C$6:$C$13,0),MATCH(D18,Лист2!$D$5:$M$5,0))</f>
        <v>0.81000000000000005</v>
      </c>
      <c r="G18" s="16">
        <f>FLOOR(C18/F18, 2.5)</f>
        <v>197.5</v>
      </c>
      <c r="H18" s="23"/>
      <c r="I18" s="23"/>
      <c r="J18" s="23"/>
      <c r="L18" s="25"/>
      <c r="M18" s="25"/>
    </row>
    <row r="19">
      <c r="B19" s="23"/>
      <c r="C19" s="23"/>
      <c r="D19" s="23"/>
      <c r="E19" s="23"/>
      <c r="F19" s="23"/>
      <c r="G19" s="23"/>
      <c r="H19" s="23"/>
      <c r="I19" s="23"/>
      <c r="J19" s="23"/>
      <c r="L19" s="25"/>
      <c r="M19" s="25"/>
    </row>
    <row r="20">
      <c r="B20" s="23"/>
      <c r="C20" s="23"/>
      <c r="D20" s="23"/>
      <c r="E20" s="23"/>
      <c r="F20" s="23"/>
      <c r="G20" s="23"/>
      <c r="H20" s="23"/>
      <c r="I20" s="23"/>
      <c r="J20" s="23"/>
      <c r="L20" s="25"/>
      <c r="M20" s="25"/>
    </row>
    <row r="21">
      <c r="B21" s="23"/>
      <c r="C21" s="23" t="s">
        <v>17</v>
      </c>
      <c r="D21" s="23"/>
      <c r="E21" s="23"/>
      <c r="F21" s="23"/>
      <c r="G21" s="23"/>
      <c r="H21" s="23"/>
      <c r="I21" s="23"/>
      <c r="J21" s="23"/>
      <c r="M21" s="25"/>
    </row>
    <row r="22">
      <c r="C22" t="s">
        <v>18</v>
      </c>
      <c r="M22" s="25"/>
    </row>
    <row r="23">
      <c r="C23" t="s">
        <v>19</v>
      </c>
    </row>
  </sheetData>
  <mergeCells count="1">
    <mergeCell ref="D4:M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A004C-0070-48CF-95DD-0092007500A1}" type="list" allowBlank="1" errorStyle="stop" imeMode="noControl" operator="between" showDropDown="0" showErrorMessage="1" showInputMessage="1">
          <x14:formula1>
            <xm:f>$P$6:$P$13</xm:f>
          </x14:formula1>
          <xm:sqref>E18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4" activeCellId="0" sqref="G14"/>
    </sheetView>
  </sheetViews>
  <sheetFormatPr defaultRowHeight="14.25"/>
  <cols>
    <col customWidth="1" min="3" max="3" width="12.28515625"/>
    <col customWidth="1" min="4" max="4" width="11.85546875"/>
    <col customWidth="1" min="5" max="5" width="7.85546875"/>
    <col customWidth="1" min="6" max="6" width="9.140625"/>
    <col customWidth="1" min="8" max="8" width="11.5703125"/>
    <col customWidth="1" min="11" max="11" width="13.140625"/>
    <col customWidth="1" min="12" max="12" width="8.85546875"/>
  </cols>
  <sheetData>
    <row r="3">
      <c r="B3" s="1" t="s">
        <v>20</v>
      </c>
    </row>
    <row r="5" ht="15.75">
      <c r="C5" s="23"/>
      <c r="D5" s="23"/>
      <c r="E5" s="23"/>
      <c r="F5" s="23"/>
      <c r="J5" s="24"/>
      <c r="K5" s="25"/>
      <c r="L5" s="25"/>
      <c r="M5" s="25"/>
      <c r="N5" s="25"/>
    </row>
    <row r="6" ht="28.5" customHeight="1">
      <c r="C6" s="27" t="s">
        <v>21</v>
      </c>
      <c r="D6" s="28" t="s">
        <v>12</v>
      </c>
      <c r="E6" s="29" t="s">
        <v>22</v>
      </c>
      <c r="F6" s="30" t="s">
        <v>23</v>
      </c>
      <c r="N6" s="31" t="s">
        <v>1</v>
      </c>
      <c r="O6" s="32"/>
      <c r="P6" s="32"/>
      <c r="Q6" s="32"/>
      <c r="R6" s="32"/>
      <c r="S6" s="32"/>
      <c r="T6" s="32"/>
      <c r="U6" s="32"/>
      <c r="V6" s="32"/>
      <c r="W6" s="33"/>
      <c r="AJ6" s="34" t="s">
        <v>15</v>
      </c>
      <c r="AK6" s="34" t="s">
        <v>14</v>
      </c>
      <c r="AN6" t="s">
        <v>24</v>
      </c>
    </row>
    <row r="7" ht="15.75">
      <c r="C7" s="35"/>
      <c r="D7" s="36"/>
      <c r="E7" s="37"/>
      <c r="F7" s="38"/>
      <c r="G7" t="s">
        <v>25</v>
      </c>
      <c r="M7" s="39" t="s">
        <v>2</v>
      </c>
      <c r="N7" s="40">
        <v>1</v>
      </c>
      <c r="O7" s="41">
        <v>2</v>
      </c>
      <c r="P7" s="41">
        <v>3</v>
      </c>
      <c r="Q7" s="41">
        <v>4</v>
      </c>
      <c r="R7" s="41">
        <v>5</v>
      </c>
      <c r="S7" s="42">
        <v>6</v>
      </c>
      <c r="T7" s="42">
        <v>7</v>
      </c>
      <c r="U7" s="42">
        <v>8</v>
      </c>
      <c r="V7" s="42">
        <v>9</v>
      </c>
      <c r="W7" s="43">
        <v>10</v>
      </c>
      <c r="AJ7" s="26" t="e">
        <f>D7/AK7</f>
        <v>#N/A</v>
      </c>
      <c r="AK7" s="44" t="e">
        <f>INDEX(Лист2!D6:M13,MATCH(F7,Лист2!$C$6:$C$13,0),MATCH(E7,Лист2!$D$5:$M$5,0))</f>
        <v>#N/A</v>
      </c>
    </row>
    <row r="8" ht="15.75">
      <c r="C8" s="45"/>
      <c r="D8" s="10" t="str">
        <f>IFERROR(MROUND(AJ7*AK8,2.5),"я сам решу")</f>
        <v xml:space="preserve">я сам решу</v>
      </c>
      <c r="E8" s="46"/>
      <c r="F8" s="45"/>
      <c r="G8" t="s">
        <v>26</v>
      </c>
      <c r="J8" s="47"/>
      <c r="K8" s="1" t="s">
        <v>27</v>
      </c>
      <c r="M8" s="48">
        <v>10</v>
      </c>
      <c r="N8" s="49">
        <f>IF(M6&gt;0, 100%*M6, 100%)</f>
        <v>1</v>
      </c>
      <c r="O8" s="50">
        <v>0.95999999999999996</v>
      </c>
      <c r="P8" s="51">
        <v>0.92000000000000004</v>
      </c>
      <c r="Q8" s="51">
        <v>0.89000000000000001</v>
      </c>
      <c r="R8" s="52">
        <v>0.85999999999999999</v>
      </c>
      <c r="S8" s="53">
        <v>0.83999999999999997</v>
      </c>
      <c r="T8" s="54">
        <v>0.81000000000000005</v>
      </c>
      <c r="U8" s="54">
        <v>0.79000000000000004</v>
      </c>
      <c r="V8" s="54">
        <v>0.76000000000000001</v>
      </c>
      <c r="W8" s="55">
        <v>0.73999999999999999</v>
      </c>
      <c r="AJ8" s="46" t="e">
        <f t="shared" ref="AJ8:AJ9" si="0">D8/AN8</f>
        <v>#VALUE!</v>
      </c>
      <c r="AK8" s="12" t="e">
        <f>INDEX(Лист2!D6:M13,MATCH(C8,Лист2!$C$6:$C$13,0),MATCH(E8,Лист2!$D$5:$M$5,0))</f>
        <v>#N/A</v>
      </c>
      <c r="AN8" t="e">
        <f>INDEX(Лист2!D6:M13,MATCH(F8,Лист2!$C$6:$C$13,0),MATCH(E8,Лист2!$D$5:$M$5,0))</f>
        <v>#N/A</v>
      </c>
    </row>
    <row r="9" ht="15.75">
      <c r="C9" s="45"/>
      <c r="D9" s="26" t="str">
        <f>IFERROR(MROUND(AJ8*AK9,2.5),"сам решу")</f>
        <v xml:space="preserve">сам решу</v>
      </c>
      <c r="E9" s="26"/>
      <c r="F9" s="45"/>
      <c r="G9" t="s">
        <v>26</v>
      </c>
      <c r="M9" s="56">
        <v>9.5</v>
      </c>
      <c r="N9" s="57">
        <v>0.97999999999999998</v>
      </c>
      <c r="O9" s="58">
        <v>0.93999999999999995</v>
      </c>
      <c r="P9" s="59">
        <v>0.91000000000000003</v>
      </c>
      <c r="Q9" s="60">
        <v>0.88</v>
      </c>
      <c r="R9" s="61">
        <v>0.84999999999999998</v>
      </c>
      <c r="S9" s="62">
        <v>0.81999999999999995</v>
      </c>
      <c r="T9" s="63">
        <v>0.80000000000000004</v>
      </c>
      <c r="U9" s="63">
        <v>0.77000000000000002</v>
      </c>
      <c r="V9" s="63">
        <v>0.75</v>
      </c>
      <c r="W9" s="64">
        <v>0.71999999999999997</v>
      </c>
      <c r="AJ9" s="26" t="e">
        <f t="shared" si="0"/>
        <v>#VALUE!</v>
      </c>
      <c r="AK9" s="16" t="e">
        <f>INDEX(Лист2!D6:M13,MATCH(C9,Лист2!$C$6:$C$13,0),MATCH(E9,Лист2!$D$5:$M$5,0))</f>
        <v>#N/A</v>
      </c>
      <c r="AN9" t="e">
        <f>INDEX(Лист2!D6:M13,MATCH(F9,Лист2!$C$6:$C$13,0),MATCH(E9,Лист2!$D$5:$M$5,0))</f>
        <v>#N/A</v>
      </c>
    </row>
    <row r="10" ht="15.75">
      <c r="C10" s="45"/>
      <c r="D10" s="18" t="str">
        <f>IFERROR(MROUND(AJ9*AK10,2.5),"сам решууу")</f>
        <v xml:space="preserve">сам решууу</v>
      </c>
      <c r="E10" s="65"/>
      <c r="F10" s="45"/>
      <c r="G10" t="s">
        <v>26</v>
      </c>
      <c r="J10" s="66"/>
      <c r="K10" s="1" t="s">
        <v>28</v>
      </c>
      <c r="M10" s="56">
        <v>9</v>
      </c>
      <c r="N10" s="57">
        <v>0.95999999999999996</v>
      </c>
      <c r="O10" s="58">
        <v>0.92000000000000004</v>
      </c>
      <c r="P10" s="59">
        <v>0.89000000000000001</v>
      </c>
      <c r="Q10" s="60">
        <v>0.85999999999999999</v>
      </c>
      <c r="R10" s="61">
        <v>0.83999999999999997</v>
      </c>
      <c r="S10" s="62">
        <v>0.81000000000000005</v>
      </c>
      <c r="T10" s="63">
        <v>0.79000000000000004</v>
      </c>
      <c r="U10" s="63">
        <v>0.76000000000000001</v>
      </c>
      <c r="V10" s="63">
        <v>0.73999999999999999</v>
      </c>
      <c r="W10" s="64">
        <v>0.70999999999999996</v>
      </c>
      <c r="AJ10" s="65" t="e">
        <f t="shared" ref="AJ10:AJ12" si="1">D10/AN10</f>
        <v>#VALUE!</v>
      </c>
      <c r="AK10" s="20" t="e">
        <f>INDEX(Лист2!D6:M13,MATCH(C10,Лист2!$C$6:$C$13,0),MATCH(E10,Лист2!$D$5:$M$5,0))</f>
        <v>#N/A</v>
      </c>
      <c r="AN10" t="e">
        <f>INDEX(Лист2!D6:M13,MATCH(F10,Лист2!$C$6:$C$13,0),MATCH(E10,Лист2!$D$5:$M$5,0))</f>
        <v>#N/A</v>
      </c>
    </row>
    <row r="11" ht="15.75">
      <c r="C11" s="45"/>
      <c r="D11" s="18" t="str">
        <f t="shared" ref="D11:D12" si="2">IFERROR(MROUND(AJ10*AK11,2.5),"сам решу")</f>
        <v xml:space="preserve">сам решу</v>
      </c>
      <c r="E11" s="65"/>
      <c r="F11" s="45"/>
      <c r="G11" t="s">
        <v>26</v>
      </c>
      <c r="M11" s="56">
        <v>8.5</v>
      </c>
      <c r="N11" s="57">
        <v>0.93999999999999995</v>
      </c>
      <c r="O11" s="58">
        <v>0.91000000000000003</v>
      </c>
      <c r="P11" s="67">
        <v>0.88</v>
      </c>
      <c r="Q11" s="68">
        <v>0.84999999999999998</v>
      </c>
      <c r="R11" s="69">
        <v>0.71999999999999997</v>
      </c>
      <c r="S11" s="70">
        <v>0.80000000000000004</v>
      </c>
      <c r="T11" s="63">
        <v>0.77000000000000002</v>
      </c>
      <c r="U11" s="63">
        <v>0.75</v>
      </c>
      <c r="V11" s="63">
        <v>0.71999999999999997</v>
      </c>
      <c r="W11" s="64">
        <v>0.68999999999999995</v>
      </c>
      <c r="AJ11" s="65" t="e">
        <f t="shared" si="1"/>
        <v>#VALUE!</v>
      </c>
      <c r="AK11" s="20" t="e">
        <f>INDEX(Лист2!D6:M13,MATCH(C11,Лист2!$C$6:$C$13,0),MATCH(E11,Лист2!$D$5:$M$5,0))</f>
        <v>#N/A</v>
      </c>
      <c r="AN11" t="e">
        <f>INDEX(Лист2!D6:M13,MATCH(F11,Лист2!$C$6:$C$13,0),MATCH(E11,Лист2!$D$5:$M$5,0))</f>
        <v>#N/A</v>
      </c>
    </row>
    <row r="12" ht="15.75">
      <c r="C12" s="45"/>
      <c r="D12" s="18" t="str">
        <f t="shared" si="2"/>
        <v xml:space="preserve">сам решу</v>
      </c>
      <c r="E12" s="65"/>
      <c r="F12" s="45"/>
      <c r="G12" t="s">
        <v>26</v>
      </c>
      <c r="M12" s="56">
        <v>8</v>
      </c>
      <c r="N12" s="57">
        <v>0.92000000000000004</v>
      </c>
      <c r="O12" s="58">
        <v>0.89000000000000001</v>
      </c>
      <c r="P12" s="71">
        <v>0.85999999999999999</v>
      </c>
      <c r="Q12" s="72">
        <v>0.83999999999999997</v>
      </c>
      <c r="R12" s="73">
        <v>0.81000000000000005</v>
      </c>
      <c r="S12" s="74">
        <v>0.79000000000000004</v>
      </c>
      <c r="T12" s="62">
        <v>0.76000000000000001</v>
      </c>
      <c r="U12" s="63">
        <v>0.73999999999999999</v>
      </c>
      <c r="V12" s="63">
        <v>0.70999999999999996</v>
      </c>
      <c r="W12" s="64">
        <v>0.68000000000000005</v>
      </c>
      <c r="AJ12" s="65" t="e">
        <f t="shared" si="1"/>
        <v>#VALUE!</v>
      </c>
      <c r="AK12" s="20" t="e">
        <f>INDEX(Лист2!D6:M13,MATCH(C12,Лист2!$C$6:$C$13,0),MATCH(E12,Лист2!$D$5:$M$5,0))</f>
        <v>#N/A</v>
      </c>
      <c r="AN12" t="e">
        <f>INDEX(Лист2!D6:M13,MATCH(F12,Лист2!$C$6:$C$13,0),MATCH(E12,Лист2!$D$5:$M$5,0))</f>
        <v>#N/A</v>
      </c>
    </row>
    <row r="13">
      <c r="M13" s="56">
        <v>7.5</v>
      </c>
      <c r="N13" s="57">
        <v>0.91000000000000003</v>
      </c>
      <c r="O13" s="58">
        <v>0.88</v>
      </c>
      <c r="P13" s="75">
        <v>0.84999999999999998</v>
      </c>
      <c r="Q13" s="76">
        <v>0.81999999999999995</v>
      </c>
      <c r="R13" s="77">
        <v>0.80000000000000004</v>
      </c>
      <c r="S13" s="78">
        <v>0.77000000000000002</v>
      </c>
      <c r="T13" s="62">
        <v>0.75</v>
      </c>
      <c r="U13" s="63">
        <v>0.71999999999999997</v>
      </c>
      <c r="V13" s="63">
        <v>0.68999999999999995</v>
      </c>
      <c r="W13" s="64">
        <v>0.67000000000000004</v>
      </c>
    </row>
    <row r="14" ht="15.75">
      <c r="M14" s="56">
        <v>7</v>
      </c>
      <c r="N14" s="79">
        <v>0.89000000000000001</v>
      </c>
      <c r="O14" s="80">
        <v>0.85999999999999999</v>
      </c>
      <c r="P14" s="81">
        <v>0.83999999999999997</v>
      </c>
      <c r="Q14" s="82">
        <v>0.81000000000000005</v>
      </c>
      <c r="R14" s="83">
        <v>0.79000000000000004</v>
      </c>
      <c r="S14" s="78">
        <v>0.76000000000000001</v>
      </c>
      <c r="T14" s="62">
        <v>0.73999999999999999</v>
      </c>
      <c r="U14" s="63">
        <v>0.70999999999999996</v>
      </c>
      <c r="V14" s="63">
        <v>0.68000000000000005</v>
      </c>
      <c r="W14" s="64">
        <v>0.65000000000000002</v>
      </c>
    </row>
    <row r="15">
      <c r="C15" s="21"/>
      <c r="M15" s="56">
        <v>6.5</v>
      </c>
      <c r="N15" s="84">
        <v>0.88</v>
      </c>
      <c r="O15" s="85">
        <v>0.84999999999999998</v>
      </c>
      <c r="P15" s="86">
        <v>0.81999999999999995</v>
      </c>
      <c r="Q15" s="87">
        <v>0.80000000000000004</v>
      </c>
      <c r="R15" s="88">
        <v>0.77000000000000002</v>
      </c>
      <c r="S15" s="89">
        <v>0.75</v>
      </c>
      <c r="T15" s="62">
        <v>0.71999999999999997</v>
      </c>
      <c r="U15" s="63">
        <v>0.68999999999999995</v>
      </c>
      <c r="V15" s="63">
        <v>0.67000000000000004</v>
      </c>
      <c r="W15" s="64">
        <v>0.64000000000000001</v>
      </c>
    </row>
    <row r="16" ht="15.75">
      <c r="C16" s="21"/>
      <c r="M16" s="90">
        <v>6</v>
      </c>
      <c r="N16" s="91">
        <v>0.85999999999999999</v>
      </c>
      <c r="O16" s="92">
        <v>0.83999999999999997</v>
      </c>
      <c r="P16" s="93">
        <v>0.81000000000000005</v>
      </c>
      <c r="Q16" s="94">
        <v>0.79000000000000004</v>
      </c>
      <c r="R16" s="94">
        <v>0.76000000000000001</v>
      </c>
      <c r="S16" s="95">
        <v>0.73999999999999999</v>
      </c>
      <c r="T16" s="96">
        <v>0.70999999999999996</v>
      </c>
      <c r="U16" s="97">
        <v>0.68000000000000005</v>
      </c>
      <c r="V16" s="97">
        <v>0.65000000000000002</v>
      </c>
      <c r="W16" s="98">
        <v>0.62</v>
      </c>
    </row>
    <row r="19" ht="21">
      <c r="B19" s="99" t="s">
        <v>29</v>
      </c>
      <c r="N19" s="99" t="s">
        <v>30</v>
      </c>
    </row>
    <row r="20" ht="15.75">
      <c r="B20" s="100" t="s">
        <v>2</v>
      </c>
      <c r="C20" s="101" t="s">
        <v>14</v>
      </c>
      <c r="D20" s="101" t="s">
        <v>22</v>
      </c>
      <c r="E20" s="101" t="s">
        <v>14</v>
      </c>
      <c r="F20" s="101" t="s">
        <v>22</v>
      </c>
      <c r="G20" s="101" t="s">
        <v>14</v>
      </c>
      <c r="H20" s="101" t="s">
        <v>22</v>
      </c>
      <c r="I20" s="100" t="s">
        <v>14</v>
      </c>
      <c r="J20" s="102" t="s">
        <v>22</v>
      </c>
      <c r="K20" s="100" t="s">
        <v>14</v>
      </c>
      <c r="L20" s="102" t="s">
        <v>22</v>
      </c>
      <c r="N20" s="100" t="s">
        <v>2</v>
      </c>
      <c r="O20" s="101" t="s">
        <v>14</v>
      </c>
      <c r="P20" s="101" t="s">
        <v>22</v>
      </c>
      <c r="Q20" s="100" t="s">
        <v>14</v>
      </c>
      <c r="R20" s="102" t="s">
        <v>22</v>
      </c>
      <c r="S20" s="100" t="s">
        <v>14</v>
      </c>
      <c r="T20" s="102" t="s">
        <v>22</v>
      </c>
      <c r="U20" s="100" t="s">
        <v>14</v>
      </c>
      <c r="V20" s="102" t="s">
        <v>22</v>
      </c>
    </row>
    <row r="21">
      <c r="B21" s="103">
        <v>7</v>
      </c>
      <c r="C21" s="104">
        <v>0.83999999999999997</v>
      </c>
      <c r="D21" s="105">
        <v>3</v>
      </c>
      <c r="E21" s="104">
        <v>0.83999999999999997</v>
      </c>
      <c r="F21" s="105">
        <v>3</v>
      </c>
      <c r="G21" s="104">
        <v>0.83999999999999997</v>
      </c>
      <c r="H21" s="105">
        <v>3</v>
      </c>
      <c r="I21" s="104">
        <v>0.85999999999999999</v>
      </c>
      <c r="J21" s="105">
        <v>2</v>
      </c>
      <c r="K21" s="104">
        <v>0.89000000000000001</v>
      </c>
      <c r="L21" s="105">
        <v>1</v>
      </c>
      <c r="N21" s="106">
        <v>6</v>
      </c>
      <c r="O21" s="107">
        <v>0.73999999999999999</v>
      </c>
      <c r="P21" s="108">
        <v>6</v>
      </c>
      <c r="Q21" s="107">
        <v>0.76000000000000001</v>
      </c>
      <c r="R21" s="108">
        <v>5</v>
      </c>
      <c r="S21" s="107">
        <v>0.79000000000000004</v>
      </c>
      <c r="T21" s="108">
        <v>4</v>
      </c>
      <c r="U21" s="107">
        <v>0.81000000000000005</v>
      </c>
      <c r="V21" s="109">
        <v>3</v>
      </c>
    </row>
    <row r="22">
      <c r="B22" s="103">
        <v>7.5</v>
      </c>
      <c r="C22" s="104">
        <v>0.84999999999999998</v>
      </c>
      <c r="D22" s="105">
        <v>3</v>
      </c>
      <c r="E22" s="104">
        <v>0.84999999999999998</v>
      </c>
      <c r="F22" s="105">
        <v>3</v>
      </c>
      <c r="G22" s="104">
        <v>0.84999999999999998</v>
      </c>
      <c r="H22" s="105">
        <v>3</v>
      </c>
      <c r="I22" s="104">
        <v>0.88</v>
      </c>
      <c r="J22" s="105">
        <v>2</v>
      </c>
      <c r="K22" s="104">
        <v>0.91000000000000003</v>
      </c>
      <c r="L22" s="105">
        <v>1</v>
      </c>
      <c r="N22" s="110">
        <v>6.5</v>
      </c>
      <c r="O22" s="111">
        <v>0.75</v>
      </c>
      <c r="P22" s="108">
        <v>6</v>
      </c>
      <c r="Q22" s="111">
        <v>0.77000000000000002</v>
      </c>
      <c r="R22" s="108">
        <v>5</v>
      </c>
      <c r="S22" s="111">
        <v>0.80000000000000004</v>
      </c>
      <c r="T22" s="112">
        <v>4</v>
      </c>
      <c r="U22" s="111">
        <v>0.81999999999999995</v>
      </c>
      <c r="V22" s="113">
        <v>3</v>
      </c>
    </row>
    <row r="23">
      <c r="B23" s="103">
        <v>8</v>
      </c>
      <c r="C23" s="104">
        <v>0.85999999999999999</v>
      </c>
      <c r="D23" s="105">
        <v>3</v>
      </c>
      <c r="E23" s="104">
        <v>0.85999999999999999</v>
      </c>
      <c r="F23" s="105">
        <v>3</v>
      </c>
      <c r="G23" s="104">
        <v>0.85999999999999999</v>
      </c>
      <c r="H23" s="105">
        <v>3</v>
      </c>
      <c r="I23" s="104">
        <v>0.89000000000000001</v>
      </c>
      <c r="J23" s="105">
        <v>2</v>
      </c>
      <c r="K23" s="104">
        <v>0.92000000000000004</v>
      </c>
      <c r="L23" s="105">
        <v>1</v>
      </c>
      <c r="N23" s="103">
        <v>7</v>
      </c>
      <c r="O23" s="111">
        <v>0.76000000000000001</v>
      </c>
      <c r="P23" s="108">
        <v>6</v>
      </c>
      <c r="Q23" s="111">
        <v>0.79000000000000004</v>
      </c>
      <c r="R23" s="108">
        <v>5</v>
      </c>
      <c r="S23" s="111">
        <v>0.81000000000000005</v>
      </c>
      <c r="T23" s="112">
        <v>4</v>
      </c>
      <c r="U23" s="111">
        <v>0.83999999999999997</v>
      </c>
      <c r="V23" s="113">
        <v>3</v>
      </c>
    </row>
    <row r="24">
      <c r="B24" s="103">
        <v>8.5</v>
      </c>
      <c r="C24" s="104">
        <v>0.88</v>
      </c>
      <c r="D24" s="105">
        <v>3</v>
      </c>
      <c r="E24" s="104">
        <v>0.88</v>
      </c>
      <c r="F24" s="105">
        <v>3</v>
      </c>
      <c r="G24" s="104">
        <v>0.88</v>
      </c>
      <c r="H24" s="105">
        <v>3</v>
      </c>
      <c r="I24" s="104">
        <v>0.91000000000000003</v>
      </c>
      <c r="J24" s="105">
        <v>2</v>
      </c>
      <c r="K24" s="104">
        <v>0.93999999999999995</v>
      </c>
      <c r="L24" s="105">
        <v>1</v>
      </c>
      <c r="N24" s="103">
        <v>7.5</v>
      </c>
      <c r="O24" s="111">
        <v>0.77000000000000002</v>
      </c>
      <c r="P24" s="108">
        <v>6</v>
      </c>
      <c r="Q24" s="111">
        <v>0.80000000000000004</v>
      </c>
      <c r="R24" s="108">
        <v>5</v>
      </c>
      <c r="S24" s="111">
        <v>0.81999999999999995</v>
      </c>
      <c r="T24" s="112">
        <v>4</v>
      </c>
      <c r="U24" s="111">
        <v>0.84999999999999998</v>
      </c>
      <c r="V24" s="113">
        <v>3</v>
      </c>
    </row>
    <row r="25" ht="15.75">
      <c r="B25" s="103">
        <v>9</v>
      </c>
      <c r="C25" s="104">
        <v>0.89000000000000001</v>
      </c>
      <c r="D25" s="105">
        <v>3</v>
      </c>
      <c r="E25" s="104">
        <v>0.89000000000000001</v>
      </c>
      <c r="F25" s="105">
        <v>3</v>
      </c>
      <c r="G25" s="104">
        <v>0.89000000000000001</v>
      </c>
      <c r="H25" s="105">
        <v>3</v>
      </c>
      <c r="I25" s="104">
        <v>0.92000000000000004</v>
      </c>
      <c r="J25" s="105">
        <v>2</v>
      </c>
      <c r="K25" s="104">
        <v>0.95999999999999996</v>
      </c>
      <c r="L25" s="105">
        <v>1</v>
      </c>
      <c r="N25" s="114">
        <v>8</v>
      </c>
      <c r="O25" s="115">
        <v>0.79000000000000004</v>
      </c>
      <c r="P25" s="116">
        <v>6</v>
      </c>
      <c r="Q25" s="115">
        <v>0.81000000000000005</v>
      </c>
      <c r="R25" s="116">
        <v>5</v>
      </c>
      <c r="S25" s="115">
        <v>0.83999999999999997</v>
      </c>
      <c r="T25" s="117">
        <v>4</v>
      </c>
      <c r="U25" s="115">
        <v>0.85999999999999999</v>
      </c>
      <c r="V25" s="118">
        <v>3</v>
      </c>
    </row>
    <row r="26">
      <c r="B26" s="103">
        <v>9.5</v>
      </c>
      <c r="C26" s="104">
        <v>0.91000000000000003</v>
      </c>
      <c r="D26" s="105">
        <v>3</v>
      </c>
      <c r="E26" s="104">
        <v>0.91000000000000003</v>
      </c>
      <c r="F26" s="105">
        <v>3</v>
      </c>
      <c r="G26" s="104">
        <v>0.91000000000000003</v>
      </c>
      <c r="H26" s="105">
        <v>3</v>
      </c>
      <c r="I26" s="104">
        <v>0.93999999999999995</v>
      </c>
      <c r="J26" s="105">
        <v>2</v>
      </c>
      <c r="K26" s="104">
        <v>0.97999999999999998</v>
      </c>
      <c r="L26" s="105">
        <v>1</v>
      </c>
      <c r="N26" s="119"/>
      <c r="O26" s="120"/>
      <c r="Q26" s="120"/>
      <c r="S26" s="120"/>
      <c r="U26" s="120"/>
    </row>
    <row r="27" ht="15.75">
      <c r="B27" s="114">
        <v>10</v>
      </c>
      <c r="C27" s="121">
        <v>0.92000000000000004</v>
      </c>
      <c r="D27" s="122">
        <v>3</v>
      </c>
      <c r="E27" s="121">
        <v>0.92000000000000004</v>
      </c>
      <c r="F27" s="122">
        <v>3</v>
      </c>
      <c r="G27" s="121">
        <v>0.92000000000000004</v>
      </c>
      <c r="H27" s="122">
        <v>3</v>
      </c>
      <c r="I27" s="121">
        <v>0.95999999999999996</v>
      </c>
      <c r="J27" s="122">
        <v>2</v>
      </c>
      <c r="K27" s="121">
        <v>1</v>
      </c>
      <c r="L27" s="122">
        <v>1</v>
      </c>
    </row>
    <row r="39">
      <c r="B39" s="21"/>
    </row>
  </sheetData>
  <mergeCells count="2">
    <mergeCell ref="C6:C7"/>
    <mergeCell ref="N6:W6"/>
  </mergeCells>
  <dataValidations count="1" disablePrompts="0">
    <dataValidation sqref="F7:F12 C8:C12" type="list" allowBlank="1" errorStyle="stop" imeMode="noControl" operator="between" showDropDown="0" showErrorMessage="1" showInputMessage="1">
      <formula1>Лист2!$C$6:$C$13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1200" verticalDpi="12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ONLYOFFICE/7.4.0.163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</cp:revision>
  <dcterms:created xsi:type="dcterms:W3CDTF">2025-10-11T10:52:10Z</dcterms:created>
  <dcterms:modified xsi:type="dcterms:W3CDTF">2025-11-09T08:43:08Z</dcterms:modified>
</cp:coreProperties>
</file>